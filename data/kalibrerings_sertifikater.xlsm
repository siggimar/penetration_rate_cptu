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phd\penetration_rate_cptu\data\"/>
    </mc:Choice>
  </mc:AlternateContent>
  <xr:revisionPtr revIDLastSave="0" documentId="13_ncr:1_{2A18E132-A6A2-4CDB-8A42-D812B5D007C1}" xr6:coauthVersionLast="47" xr6:coauthVersionMax="47" xr10:uidLastSave="{00000000-0000-0000-0000-000000000000}"/>
  <bookViews>
    <workbookView xWindow="-120" yWindow="-120" windowWidth="29040" windowHeight="15840" xr2:uid="{C8952DF1-B3DD-4FD9-8FB1-AA78B6C8CC96}"/>
  </bookViews>
  <sheets>
    <sheet name="Sertifikater" sheetId="2" r:id="rId1"/>
  </sheets>
  <definedNames>
    <definedName name="_xlnm._FilterDatabase" localSheetId="0" hidden="1">Sertifikater!$A$2:$Q$2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6" i="2" l="1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5" i="2"/>
</calcChain>
</file>

<file path=xl/sharedStrings.xml><?xml version="1.0" encoding="utf-8"?>
<sst xmlns="http://schemas.openxmlformats.org/spreadsheetml/2006/main" count="124" uniqueCount="89">
  <si>
    <t>Generelt</t>
  </si>
  <si>
    <t>Spissmotstand</t>
  </si>
  <si>
    <t>Sidefriksjon</t>
  </si>
  <si>
    <t>Temperatur</t>
  </si>
  <si>
    <t>Sonde nr.</t>
  </si>
  <si>
    <t>Kalibreringsdato (DD.MM.ÅÅÅÅ)</t>
  </si>
  <si>
    <r>
      <t>Arealforhold q</t>
    </r>
    <r>
      <rPr>
        <vertAlign val="subscript"/>
        <sz val="11"/>
        <color theme="1"/>
        <rFont val="Lucida Sans Unicode"/>
        <family val="2"/>
      </rPr>
      <t>c</t>
    </r>
    <r>
      <rPr>
        <sz val="11"/>
        <color theme="1"/>
        <rFont val="Lucida Sans Unicode"/>
        <family val="2"/>
      </rPr>
      <t xml:space="preserve"> (-)</t>
    </r>
  </si>
  <si>
    <r>
      <t>Makslast q</t>
    </r>
    <r>
      <rPr>
        <vertAlign val="subscript"/>
        <sz val="11"/>
        <color theme="1"/>
        <rFont val="Lucida Sans Unicode"/>
        <family val="2"/>
      </rPr>
      <t>c</t>
    </r>
    <r>
      <rPr>
        <sz val="11"/>
        <color theme="1"/>
        <rFont val="Lucida Sans Unicode"/>
        <family val="2"/>
      </rPr>
      <t xml:space="preserve"> (MPa)</t>
    </r>
  </si>
  <si>
    <r>
      <t>Skaleringsfaktor q</t>
    </r>
    <r>
      <rPr>
        <vertAlign val="subscript"/>
        <sz val="11"/>
        <color theme="1"/>
        <rFont val="Lucida Sans Unicode"/>
        <family val="2"/>
      </rPr>
      <t>c</t>
    </r>
    <r>
      <rPr>
        <sz val="11"/>
        <color theme="1"/>
        <rFont val="Lucida Sans Unicode"/>
        <family val="2"/>
      </rPr>
      <t xml:space="preserve"> (-)</t>
    </r>
  </si>
  <si>
    <r>
      <t>Oppløsning 18bit q</t>
    </r>
    <r>
      <rPr>
        <vertAlign val="subscript"/>
        <sz val="11"/>
        <color theme="1"/>
        <rFont val="Lucida Sans Unicode"/>
        <family val="2"/>
      </rPr>
      <t>c</t>
    </r>
    <r>
      <rPr>
        <sz val="11"/>
        <color theme="1"/>
        <rFont val="Lucida Sans Unicode"/>
        <family val="2"/>
      </rPr>
      <t xml:space="preserve"> (kPa)</t>
    </r>
  </si>
  <si>
    <r>
      <t>Temperatureffekt q</t>
    </r>
    <r>
      <rPr>
        <vertAlign val="subscript"/>
        <sz val="11"/>
        <color theme="1"/>
        <rFont val="Lucida Sans Unicode"/>
        <family val="2"/>
      </rPr>
      <t>c</t>
    </r>
    <r>
      <rPr>
        <sz val="11"/>
        <color theme="1"/>
        <rFont val="Lucida Sans Unicode"/>
        <family val="2"/>
      </rPr>
      <t xml:space="preserve"> (kPa)</t>
    </r>
  </si>
  <si>
    <r>
      <t>Arealforhold f</t>
    </r>
    <r>
      <rPr>
        <vertAlign val="subscript"/>
        <sz val="11"/>
        <color theme="1"/>
        <rFont val="Lucida Sans Unicode"/>
        <family val="2"/>
      </rPr>
      <t>s</t>
    </r>
    <r>
      <rPr>
        <sz val="11"/>
        <color theme="1"/>
        <rFont val="Lucida Sans Unicode"/>
        <family val="2"/>
      </rPr>
      <t xml:space="preserve"> (-)</t>
    </r>
  </si>
  <si>
    <r>
      <t>Makslast f</t>
    </r>
    <r>
      <rPr>
        <vertAlign val="subscript"/>
        <sz val="11"/>
        <color theme="1"/>
        <rFont val="Lucida Sans Unicode"/>
        <family val="2"/>
      </rPr>
      <t>s</t>
    </r>
    <r>
      <rPr>
        <sz val="11"/>
        <color theme="1"/>
        <rFont val="Lucida Sans Unicode"/>
        <family val="2"/>
      </rPr>
      <t xml:space="preserve"> (MPa)</t>
    </r>
  </si>
  <si>
    <r>
      <t>Skaleringsfaktor f</t>
    </r>
    <r>
      <rPr>
        <vertAlign val="subscript"/>
        <sz val="11"/>
        <color theme="1"/>
        <rFont val="Lucida Sans Unicode"/>
        <family val="2"/>
      </rPr>
      <t>s</t>
    </r>
    <r>
      <rPr>
        <sz val="11"/>
        <color theme="1"/>
        <rFont val="Lucida Sans Unicode"/>
        <family val="2"/>
      </rPr>
      <t xml:space="preserve"> (-)</t>
    </r>
  </si>
  <si>
    <r>
      <t>Oppløsning 18bit f</t>
    </r>
    <r>
      <rPr>
        <vertAlign val="subscript"/>
        <sz val="11"/>
        <color theme="1"/>
        <rFont val="Lucida Sans Unicode"/>
        <family val="2"/>
      </rPr>
      <t>s</t>
    </r>
    <r>
      <rPr>
        <sz val="11"/>
        <color theme="1"/>
        <rFont val="Lucida Sans Unicode"/>
        <family val="2"/>
      </rPr>
      <t xml:space="preserve"> (kPa)</t>
    </r>
  </si>
  <si>
    <r>
      <t>Temperatureffekt f</t>
    </r>
    <r>
      <rPr>
        <vertAlign val="subscript"/>
        <sz val="11"/>
        <color theme="1"/>
        <rFont val="Lucida Sans Unicode"/>
        <family val="2"/>
      </rPr>
      <t>s</t>
    </r>
    <r>
      <rPr>
        <sz val="11"/>
        <color theme="1"/>
        <rFont val="Lucida Sans Unicode"/>
        <family val="2"/>
      </rPr>
      <t xml:space="preserve"> (kPa)</t>
    </r>
  </si>
  <si>
    <r>
      <t>Makslast u</t>
    </r>
    <r>
      <rPr>
        <vertAlign val="subscript"/>
        <sz val="11"/>
        <color theme="1"/>
        <rFont val="Lucida Sans Unicode"/>
        <family val="2"/>
      </rPr>
      <t>2</t>
    </r>
    <r>
      <rPr>
        <sz val="11"/>
        <color theme="1"/>
        <rFont val="Lucida Sans Unicode"/>
        <family val="2"/>
      </rPr>
      <t xml:space="preserve"> (MPa)</t>
    </r>
  </si>
  <si>
    <r>
      <t>Skaleringsfaktor u</t>
    </r>
    <r>
      <rPr>
        <vertAlign val="subscript"/>
        <sz val="11"/>
        <color theme="1"/>
        <rFont val="Lucida Sans Unicode"/>
        <family val="2"/>
      </rPr>
      <t>2</t>
    </r>
    <r>
      <rPr>
        <sz val="11"/>
        <color theme="1"/>
        <rFont val="Lucida Sans Unicode"/>
        <family val="2"/>
      </rPr>
      <t xml:space="preserve"> (-)</t>
    </r>
  </si>
  <si>
    <r>
      <t>Oppløsning 18bit u</t>
    </r>
    <r>
      <rPr>
        <vertAlign val="subscript"/>
        <sz val="11"/>
        <color theme="1"/>
        <rFont val="Lucida Sans Unicode"/>
        <family val="2"/>
      </rPr>
      <t>2</t>
    </r>
    <r>
      <rPr>
        <sz val="11"/>
        <color theme="1"/>
        <rFont val="Lucida Sans Unicode"/>
        <family val="2"/>
      </rPr>
      <t xml:space="preserve"> (kPa)</t>
    </r>
  </si>
  <si>
    <r>
      <t>Temperatureffekt u</t>
    </r>
    <r>
      <rPr>
        <vertAlign val="subscript"/>
        <sz val="11"/>
        <color theme="1"/>
        <rFont val="Lucida Sans Unicode"/>
        <family val="2"/>
      </rPr>
      <t>2</t>
    </r>
    <r>
      <rPr>
        <sz val="11"/>
        <color theme="1"/>
        <rFont val="Lucida Sans Unicode"/>
        <family val="2"/>
      </rPr>
      <t xml:space="preserve"> (kPa)</t>
    </r>
  </si>
  <si>
    <t>Måleinterval (°C)</t>
  </si>
  <si>
    <t>alfa</t>
  </si>
  <si>
    <t>max_qc</t>
  </si>
  <si>
    <t>scale_fact_qc</t>
  </si>
  <si>
    <t>hn</t>
  </si>
  <si>
    <t>date</t>
  </si>
  <si>
    <t>res_qc</t>
  </si>
  <si>
    <t>temp_eff_qc</t>
  </si>
  <si>
    <t>beta</t>
  </si>
  <si>
    <t>max_fs</t>
  </si>
  <si>
    <t>res_fs</t>
  </si>
  <si>
    <t>temp_eff_fs</t>
  </si>
  <si>
    <t>max_u2</t>
  </si>
  <si>
    <t>scale_fact_u2</t>
  </si>
  <si>
    <t>res_u2</t>
  </si>
  <si>
    <t>temp_eff_u2</t>
  </si>
  <si>
    <t>temp_scale_min</t>
  </si>
  <si>
    <t>temp_scale_max</t>
  </si>
  <si>
    <t>(-)</t>
  </si>
  <si>
    <t>(DD-MM-YYYY)</t>
  </si>
  <si>
    <t>(kPa)</t>
  </si>
  <si>
    <t>(MPa)</t>
  </si>
  <si>
    <t>(°C)</t>
  </si>
  <si>
    <t xml:space="preserve">alfa' : '0.849', 'max_qc' : '50', 'scale_fact_qc' : '1310', 'res_qc' : '0.5824', 'temp_eff_qc' : '10.4832', 'beta' : '0', 'max_fs' : '0.5', 'scale_fact_qc' : '3653', 'res_fs' : '0.0104', 'temp_eff_fs' : '0.2704', 'max_u2' : '2', 'scale_fact_u2' : '3642', 'res_u2' : '0.0209', 'temp_eff_u2' : '0.293', 'temp_scale_min' : '0', 'temp_scale_max' : '40', </t>
  </si>
  <si>
    <t xml:space="preserve">alfa' : '0.83', 'max_qc' : '50', 'scale_fact_qc' : '1291', 'res_qc' : '0.591', 'temp_eff_qc' : '7.678', 'beta' : '0.002', 'max_fs' : '0.5', 'scale_fact_qc' : '3668', 'res_fs' : '0.0104', 'temp_eff_fs' : '0.103', 'max_u2' : '2', 'scale_fact_u2' : '3642', 'res_u2' : '0.0209', 'temp_eff_u2' : '0.293', 'temp_scale_min' : '0', 'temp_scale_max' : '40', </t>
  </si>
  <si>
    <t xml:space="preserve">alfa' : '0.864', 'max_qc' : '50', 'scale_fact_qc' : '1298', 'res_qc' : '0.5778', 'temp_eff_qc' : '15.273', 'beta' : '0', 'max_fs' : '0.5', 'scale_fact_qc' : '3679', 'res_fs' : '0.0104', 'temp_eff_fs' : '0.248', 'max_u2' : '2', 'scale_fact_u2' : '3661', 'res_u2' : '0.0208', 'temp_eff_u2' : '0.374', 'temp_scale_min' : '5', 'temp_scale_max' : '40', </t>
  </si>
  <si>
    <t xml:space="preserve">alfa' : '0.81', 'max_qc' : '50', 'scale_fact_qc' : '1267', 'res_qc' : '0.6022', 'temp_eff_qc' : '19.2704', 'beta' : '0', 'max_fs' : '0.5', 'scale_fact_qc' : '3615', 'res_fs' : '0.0106', 'temp_eff_fs' : '0.3604', 'max_u2' : '2', 'scale_fact_u2' : '3798', 'res_u2' : '0.0201', 'temp_eff_u2' : '0.5427', 'temp_scale_min' : '0', 'temp_scale_max' : '40', </t>
  </si>
  <si>
    <t xml:space="preserve">alfa' : '0.838', 'max_qc' : '50', 'scale_fact_qc' : '1268', 'res_qc' : '0.6017', 'temp_eff_qc' : '77.6193', 'beta' : '0', 'max_fs' : '0.5', 'scale_fact_qc' : '3555', 'res_fs' : '0.0107', 'temp_eff_fs' : '1.4873', 'max_u2' : '2', 'scale_fact_u2' : '3788', 'res_u2' : '0.0201', 'temp_eff_u2' : '0.5628', 'temp_scale_min' : '0', 'temp_scale_max' : '40', </t>
  </si>
  <si>
    <t xml:space="preserve">alfa' : '0.842', 'max_qc' : '50', 'scale_fact_qc' : '1277', 'res_qc' : '0.5974', 'temp_eff_qc' : '30.4674', 'beta' : '0', 'max_fs' : '0.5', 'scale_fact_qc' : '3634', 'res_fs' : '0.0105', 'temp_eff_fs' : '0.7455', 'max_u2' : '2', 'scale_fact_u2' : '3788', 'res_u2' : '0.0201', 'temp_eff_u2' : '0.7035', 'temp_scale_min' : '0', 'temp_scale_max' : '40', </t>
  </si>
  <si>
    <t xml:space="preserve">alfa' : '0.839', 'max_qc' : '50', 'scale_fact_qc' : '1278', 'res_qc' : '0.597', 'temp_eff_qc' : '22.686', 'beta' : '0', 'max_fs' : '0.5', 'scale_fact_qc' : '3648', 'res_fs' : '0.0104', 'temp_eff_fs' : '0.4368', 'max_u2' : '2', 'scale_fact_u2' : '3778', 'res_u2' : '0.0202', 'temp_eff_u2' : '0.808', 'temp_scale_min' : '0', 'temp_scale_max' : '40', </t>
  </si>
  <si>
    <t xml:space="preserve">alfa' : '0.86', 'max_qc' : '50', 'scale_fact_qc' : '1275', 'res_qc' : '0.5984', 'temp_eff_qc' : '22.725', 'beta' : '0', 'max_fs' : '0.5', 'scale_fact_qc' : '3651', 'res_fs' : '0.0104', 'temp_eff_fs' : '0.375', 'max_u2' : '2', 'scale_fact_u2' : '3769', 'res_u2' : '0.0202', 'temp_eff_u2' : '0.283', 'temp_scale_min' : '0', 'temp_scale_max' : '40', </t>
  </si>
  <si>
    <t xml:space="preserve">alfa' : '0.859', 'max_qc' : '50', 'scale_fact_qc' : '1269', 'res_qc' : '0.6012', 'temp_eff_qc' : '10.815', 'beta' : '0', 'max_fs' : '0.5', 'scale_fact_qc' : '3642', 'res_fs' : '0.0105', 'temp_eff_fs' : '0.23', 'max_u2' : '2', 'scale_fact_u2' : '3779', 'res_u2' : '0.0202', 'temp_eff_u2' : '0.867', 'temp_scale_min' : '0', 'temp_scale_max' : '40', </t>
  </si>
  <si>
    <t xml:space="preserve">alfa' : '0.873', 'max_qc' : '50', 'scale_fact_qc' : '1268', 'res_qc' : '0.6017', 'temp_eff_qc' : '23.452', 'beta' : '0', 'max_fs' : '0.5', 'scale_fact_qc' : '3639', 'res_fs' : '0.0105', 'temp_eff_fs' : '0.492', 'max_u2' : '2', 'scale_fact_u2' : '3794', 'res_u2' : '0.0201', 'temp_eff_u2' : '1.849', 'temp_scale_min' : '5', 'temp_scale_max' : '40', </t>
  </si>
  <si>
    <t xml:space="preserve">alfa' : '0.87', 'max_qc' : '50', 'scale_fact_qc' : '1269', 'res_qc' : '0.6012', 'temp_eff_qc' : '11.416', 'beta' : '0', 'max_fs' : '0.5', 'scale_fact_qc' : '3641', 'res_fs' : '0.0105', 'temp_eff_fs' : '0.335', 'max_u2' : '2', 'scale_fact_u2' : '3794', 'res_u2' : '0.0201', 'temp_eff_u2' : '0.502', 'temp_scale_min' : '5', 'temp_scale_max' : '40', </t>
  </si>
  <si>
    <t xml:space="preserve">alfa' : '0.852', 'max_qc' : '50', 'scale_fact_qc' : '1251', 'res_qc' : '0.6099', 'temp_eff_qc' : '31.1049', 'beta' : '0', 'max_fs' : '0.5', 'scale_fact_qc' : '3753', 'res_fs' : '0.0101', 'temp_eff_fs' : '0.4343', 'max_u2' : '2', 'scale_fact_u2' : '3365', 'res_u2' : '0.0227', 'temp_eff_u2' : '0.8853', 'temp_scale_min' : '0', 'temp_scale_max' : '40', </t>
  </si>
  <si>
    <t xml:space="preserve">alfa' : '0.82', 'max_qc' : '50', 'scale_fact_qc' : '1271', 'res_qc' : '0.6003', 'temp_eff_qc' : '33.0165', 'beta' : '0', 'max_fs' : '0.5', 'scale_fact_qc' : '3748', 'res_fs' : '0.0102', 'temp_eff_fs' : '0.612', 'max_u2' : '2', 'scale_fact_u2' : '3369', 'res_u2' : '0.0226', 'temp_eff_u2' : '0.3616', 'temp_scale_min' : '0', 'temp_scale_max' : '40', </t>
  </si>
  <si>
    <t xml:space="preserve">alfa' : '0.838', 'max_qc' : '50', 'scale_fact_qc' : '1258', 'res_qc' : '0.6065', 'temp_eff_qc' : '48.52', 'beta' : '0.001', 'max_fs' : '0.5', 'scale_fact_qc' : '3700', 'res_fs' : '0.0103', 'temp_eff_fs' : '0.9476', 'max_u2' : '2', 'scale_fact_u2' : '3365', 'res_u2' : '0.0227', 'temp_eff_u2' : '0.454', 'temp_scale_min' : '0', 'temp_scale_max' : '40', </t>
  </si>
  <si>
    <t xml:space="preserve">alfa' : '0.837', 'max_qc' : '50', 'scale_fact_qc' : '1267', 'res_qc' : '0.6022', 'temp_eff_qc' : '39.118', 'beta' : '0', 'max_fs' : '0.5', 'scale_fact_qc' : '3736', 'res_fs' : '0.0102', 'temp_eff_fs' : '0.591', 'max_u2' : '2', 'scale_fact_u2' : '3355', 'res_u2' : '0.0227', 'temp_eff_u2' : '0.954', 'temp_scale_min' : '0', 'temp_scale_max' : '40', </t>
  </si>
  <si>
    <t xml:space="preserve">alfa' : '0.854', 'max_qc' : '50', 'scale_fact_qc' : '1266', 'res_qc' : '0.6026', 'temp_eff_qc' : '30.114', 'beta' : '0', 'max_fs' : '0.5', 'scale_fact_qc' : '3729', 'res_fs' : '0.0102', 'temp_eff_fs' : '0.562', 'max_u2' : '2', 'scale_fact_u2' : '3360', 'res_u2' : '0.0227', 'temp_eff_u2' : '0.635', 'temp_scale_min' : '0', 'temp_scale_max' : '40', </t>
  </si>
  <si>
    <t xml:space="preserve">alfa' : '0.86', 'max_qc' : '50', 'scale_fact_qc' : '1270', 'res_qc' : '0.6007', 'temp_eff_qc' : '23.415', 'beta' : '0', 'max_fs' : '0.5', 'scale_fact_qc' : '3731', 'res_fs' : '0.0102', 'temp_eff_fs' : '0.449', 'max_u2' : '2', 'scale_fact_u2' : '3364', 'res_u2' : '0.0227', 'temp_eff_u2' : '0.453', 'temp_scale_min' : '0', 'temp_scale_max' : '40', </t>
  </si>
  <si>
    <t xml:space="preserve">alfa' : '0.857', 'max_qc' : '50', 'scale_fact_qc' : '1266', 'res_qc' : '0.6026', 'temp_eff_qc' : '7.227', 'beta' : '0', 'max_fs' : '0.5', 'scale_fact_qc' : '3725', 'res_fs' : '0.0102', 'temp_eff_fs' : '0.112', 'max_u2' : '2', 'scale_fact_u2' : '3376', 'res_u2' : '0.0226', 'temp_eff_u2' : '0.384', 'temp_scale_min' : '5', 'temp_scale_max' : '40', </t>
  </si>
  <si>
    <t xml:space="preserve">alfa' : '0.865', 'max_qc' : '50', 'scale_fact_qc' : '1267', 'res_qc' : '0.6022', 'temp_eff_qc' : '16.85', 'beta' : '0', 'max_fs' : '0.5', 'scale_fact_qc' : '3732', 'res_fs' : '0.0102', 'temp_eff_fs' : '0.388', 'max_u2' : '2', 'scale_fact_u2' : '3381', 'res_u2' : '0.0226', 'temp_eff_u2' : '0.699', 'temp_scale_min' : '0', 'temp_scale_max' : '40', </t>
  </si>
  <si>
    <t xml:space="preserve">alfa' : '0.856', 'max_qc' : '50', 'scale_fact_qc' : '1272', 'res_qc' : '0.5998', 'temp_eff_qc' : '14.986', 'beta' : '0', 'max_fs' : '0.5', 'scale_fact_qc' : '3793', 'res_fs' : '0.0101', 'temp_eff_fs' : '0.321', 'max_u2' : '2', 'scale_fact_u2' : '3654', 'res_u2' : '0.0209', 'temp_eff_u2' : '1.377', 'temp_scale_min' : '0', 'temp_scale_max' : '40', </t>
  </si>
  <si>
    <t xml:space="preserve">alfa' : '0.865', 'max_qc' : '50', 'scale_fact_qc' : '1267', 'res_qc' : '0.6022', 'temp_eff_qc' : '16.85', 'beta' : '0', 'max_fs' : '0.5', 'scale_fact_qc' : '3732', 'res_fs' : '0.0102', 'temp_eff_fs' : '0.388', 'max_u2' : '2', 'scale_fact_u2' : '3381', 'res_u2' : '0.0226', 'temp_eff_u2' : '0.699', 'temp_scale_min' : '5', 'temp_scale_max' : '40', </t>
  </si>
  <si>
    <t xml:space="preserve"> </t>
  </si>
  <si>
    <t>dict</t>
  </si>
  <si>
    <t>combined dict entry</t>
  </si>
  <si>
    <t>text_combined</t>
  </si>
  <si>
    <t>'11-10-2013' : {'alfa' : '0.849', 'max_qc' : '50', 'scale_fact_qc' : '1310', 'res_qc' : '0.5824', 'temp_eff_qc' : '10.4832', 'beta' : '0', 'max_fs' : '0.5', 'scale_fact_qc' : '3653', 'res_fs' : '0.0104', 'temp_eff_fs' : '0.2704', 'max_u2' : '2', 'scale_fact_u2' : '3642', 'res_u2' : '0.0209', 'temp_eff_u2' : '0.293', 'temp_scale_min' : '0', 'temp_scale_max' : '40', }</t>
  </si>
  <si>
    <t>'20-5-2016' : {'alfa' : '0.83', 'max_qc' : '50', 'scale_fact_qc' : '1291', 'res_qc' : '0.591', 'temp_eff_qc' : '7.678', 'beta' : '0.002', 'max_fs' : '0.5', 'scale_fact_qc' : '3668', 'res_fs' : '0.0104', 'temp_eff_fs' : '0.103', 'max_u2' : '2', 'scale_fact_u2' : '3642', 'res_u2' : '0.0209', 'temp_eff_u2' : '0.293', 'temp_scale_min' : '0', 'temp_scale_max' : '40', }</t>
  </si>
  <si>
    <t>'25-9-2019' : {'alfa' : '0.864', 'max_qc' : '50', 'scale_fact_qc' : '1298', 'res_qc' : '0.5778', 'temp_eff_qc' : '15.273', 'beta' : '0', 'max_fs' : '0.5', 'scale_fact_qc' : '3679', 'res_fs' : '0.0104', 'temp_eff_fs' : '0.248', 'max_u2' : '2', 'scale_fact_u2' : '3661', 'res_u2' : '0.0208', 'temp_eff_u2' : '0.374', 'temp_scale_min' : '5', 'temp_scale_max' : '40', }</t>
  </si>
  <si>
    <t>'21-12-2010' : {'alfa' : '0.81', 'max_qc' : '50', 'scale_fact_qc' : '1267', 'res_qc' : '0.6022', 'temp_eff_qc' : '19.2704', 'beta' : '0', 'max_fs' : '0.5', 'scale_fact_qc' : '3615', 'res_fs' : '0.0106', 'temp_eff_fs' : '0.3604', 'max_u2' : '2', 'scale_fact_u2' : '3798', 'res_u2' : '0.0201', 'temp_eff_u2' : '0.5427', 'temp_scale_min' : '0', 'temp_scale_max' : '40', }</t>
  </si>
  <si>
    <t>'6-9-2012' : {'alfa' : '0.838', 'max_qc' : '50', 'scale_fact_qc' : '1268', 'res_qc' : '0.6017', 'temp_eff_qc' : '77.6193', 'beta' : '0', 'max_fs' : '0.5', 'scale_fact_qc' : '3555', 'res_fs' : '0.0107', 'temp_eff_fs' : '1.4873', 'max_u2' : '2', 'scale_fact_u2' : '3788', 'res_u2' : '0.0201', 'temp_eff_u2' : '0.5628', 'temp_scale_min' : '0', 'temp_scale_max' : '40', }</t>
  </si>
  <si>
    <t>'7-11-2013' : {'alfa' : '0.842', 'max_qc' : '50', 'scale_fact_qc' : '1277', 'res_qc' : '0.5974', 'temp_eff_qc' : '30.4674', 'beta' : '0', 'max_fs' : '0.5', 'scale_fact_qc' : '3634', 'res_fs' : '0.0105', 'temp_eff_fs' : '0.7455', 'max_u2' : '2', 'scale_fact_u2' : '3788', 'res_u2' : '0.0201', 'temp_eff_u2' : '0.7035', 'temp_scale_min' : '0', 'temp_scale_max' : '40', }</t>
  </si>
  <si>
    <t>'3-7-2015' : {'alfa' : '0.839', 'max_qc' : '50', 'scale_fact_qc' : '1278', 'res_qc' : '0.597', 'temp_eff_qc' : '22.686', 'beta' : '0', 'max_fs' : '0.5', 'scale_fact_qc' : '3648', 'res_fs' : '0.0104', 'temp_eff_fs' : '0.4368', 'max_u2' : '2', 'scale_fact_u2' : '3778', 'res_u2' : '0.0202', 'temp_eff_u2' : '0.808', 'temp_scale_min' : '0', 'temp_scale_max' : '40', }</t>
  </si>
  <si>
    <t>'22-10-2018' : {'alfa' : '0.86', 'max_qc' : '50', 'scale_fact_qc' : '1275', 'res_qc' : '0.5984', 'temp_eff_qc' : '22.725', 'beta' : '0', 'max_fs' : '0.5', 'scale_fact_qc' : '3651', 'res_fs' : '0.0104', 'temp_eff_fs' : '0.375', 'max_u2' : '2', 'scale_fact_u2' : '3769', 'res_u2' : '0.0202', 'temp_eff_u2' : '0.283', 'temp_scale_min' : '0', 'temp_scale_max' : '40', }</t>
  </si>
  <si>
    <t>'22-1-2020' : {'alfa' : '0.859', 'max_qc' : '50', 'scale_fact_qc' : '1269', 'res_qc' : '0.6012', 'temp_eff_qc' : '10.815', 'beta' : '0', 'max_fs' : '0.5', 'scale_fact_qc' : '3642', 'res_fs' : '0.0105', 'temp_eff_fs' : '0.23', 'max_u2' : '2', 'scale_fact_u2' : '3779', 'res_u2' : '0.0202', 'temp_eff_u2' : '0.867', 'temp_scale_min' : '0', 'temp_scale_max' : '40', }</t>
  </si>
  <si>
    <t>'1-3-2022' : {'alfa' : '0.873', 'max_qc' : '50', 'scale_fact_qc' : '1268', 'res_qc' : '0.6017', 'temp_eff_qc' : '23.452', 'beta' : '0', 'max_fs' : '0.5', 'scale_fact_qc' : '3639', 'res_fs' : '0.0105', 'temp_eff_fs' : '0.492', 'max_u2' : '2', 'scale_fact_u2' : '3794', 'res_u2' : '0.0201', 'temp_eff_u2' : '1.849', 'temp_scale_min' : '5', 'temp_scale_max' : '40', }</t>
  </si>
  <si>
    <t>'3-11-2022' : {'alfa' : '0.87', 'max_qc' : '50', 'scale_fact_qc' : '1269', 'res_qc' : '0.6012', 'temp_eff_qc' : '11.416', 'beta' : '0', 'max_fs' : '0.5', 'scale_fact_qc' : '3641', 'res_fs' : '0.0105', 'temp_eff_fs' : '0.335', 'max_u2' : '2', 'scale_fact_u2' : '3794', 'res_u2' : '0.0201', 'temp_eff_u2' : '0.502', 'temp_scale_min' : '5', 'temp_scale_max' : '40', }</t>
  </si>
  <si>
    <t>'18-11-2011' : {'alfa' : '0.852', 'max_qc' : '50', 'scale_fact_qc' : '1251', 'res_qc' : '0.6099', 'temp_eff_qc' : '31.1049', 'beta' : '0', 'max_fs' : '0.5', 'scale_fact_qc' : '3753', 'res_fs' : '0.0101', 'temp_eff_fs' : '0.4343', 'max_u2' : '2', 'scale_fact_u2' : '3365', 'res_u2' : '0.0227', 'temp_eff_u2' : '0.8853', 'temp_scale_min' : '0', 'temp_scale_max' : '40', }</t>
  </si>
  <si>
    <t>'27-6-2013' : {'alfa' : '0.82', 'max_qc' : '50', 'scale_fact_qc' : '1271', 'res_qc' : '0.6003', 'temp_eff_qc' : '33.0165', 'beta' : '0', 'max_fs' : '0.5', 'scale_fact_qc' : '3748', 'res_fs' : '0.0102', 'temp_eff_fs' : '0.612', 'max_u2' : '2', 'scale_fact_u2' : '3369', 'res_u2' : '0.0226', 'temp_eff_u2' : '0.3616', 'temp_scale_min' : '0', 'temp_scale_max' : '40', }</t>
  </si>
  <si>
    <t>'16-4-2014' : {'alfa' : '0.838', 'max_qc' : '50', 'scale_fact_qc' : '1258', 'res_qc' : '0.6065', 'temp_eff_qc' : '48.52', 'beta' : '0.001', 'max_fs' : '0.5', 'scale_fact_qc' : '3700', 'res_fs' : '0.0103', 'temp_eff_fs' : '0.9476', 'max_u2' : '2', 'scale_fact_u2' : '3365', 'res_u2' : '0.0227', 'temp_eff_u2' : '0.454', 'temp_scale_min' : '0', 'temp_scale_max' : '40', }</t>
  </si>
  <si>
    <t>'9-5-2016' : {'alfa' : '0.837', 'max_qc' : '50', 'scale_fact_qc' : '1267', 'res_qc' : '0.6022', 'temp_eff_qc' : '39.118', 'beta' : '0', 'max_fs' : '0.5', 'scale_fact_qc' : '3736', 'res_fs' : '0.0102', 'temp_eff_fs' : '0.591', 'max_u2' : '2', 'scale_fact_u2' : '3355', 'res_u2' : '0.0227', 'temp_eff_u2' : '0.954', 'temp_scale_min' : '0', 'temp_scale_max' : '40', }</t>
  </si>
  <si>
    <t>'1-6-2017' : {'alfa' : '0.854', 'max_qc' : '50', 'scale_fact_qc' : '1266', 'res_qc' : '0.6026', 'temp_eff_qc' : '30.114', 'beta' : '0', 'max_fs' : '0.5', 'scale_fact_qc' : '3729', 'res_fs' : '0.0102', 'temp_eff_fs' : '0.562', 'max_u2' : '2', 'scale_fact_u2' : '3360', 'res_u2' : '0.0227', 'temp_eff_u2' : '0.635', 'temp_scale_min' : '0', 'temp_scale_max' : '40', }</t>
  </si>
  <si>
    <t>'18-11-2019' : {'alfa' : '0.86', 'max_qc' : '50', 'scale_fact_qc' : '1270', 'res_qc' : '0.6007', 'temp_eff_qc' : '23.415', 'beta' : '0', 'max_fs' : '0.5', 'scale_fact_qc' : '3731', 'res_fs' : '0.0102', 'temp_eff_fs' : '0.449', 'max_u2' : '2', 'scale_fact_u2' : '3364', 'res_u2' : '0.0227', 'temp_eff_u2' : '0.453', 'temp_scale_min' : '0', 'temp_scale_max' : '40', }</t>
  </si>
  <si>
    <t>'1-12-2020' : {'alfa' : '0.857', 'max_qc' : '50', 'scale_fact_qc' : '1266', 'res_qc' : '0.6026', 'temp_eff_qc' : '7.227', 'beta' : '0', 'max_fs' : '0.5', 'scale_fact_qc' : '3725', 'res_fs' : '0.0102', 'temp_eff_fs' : '0.112', 'max_u2' : '2', 'scale_fact_u2' : '3376', 'res_u2' : '0.0226', 'temp_eff_u2' : '0.384', 'temp_scale_min' : '5', 'temp_scale_max' : '40', }</t>
  </si>
  <si>
    <t>'29-12-2021' : {'alfa' : '0.865', 'max_qc' : '50', 'scale_fact_qc' : '1267', 'res_qc' : '0.6022', 'temp_eff_qc' : '16.85', 'beta' : '0', 'max_fs' : '0.5', 'scale_fact_qc' : '3732', 'res_fs' : '0.0102', 'temp_eff_fs' : '0.388', 'max_u2' : '2', 'scale_fact_u2' : '3381', 'res_u2' : '0.0226', 'temp_eff_u2' : '0.699', 'temp_scale_min' : '0', 'temp_scale_max' : '40', }</t>
  </si>
  <si>
    <t>'25-11-2022' : {'alfa' : '0.856', 'max_qc' : '50', 'scale_fact_qc' : '1272', 'res_qc' : '0.5998', 'temp_eff_qc' : '14.986', 'beta' : '0', 'max_fs' : '0.5', 'scale_fact_qc' : '3793', 'res_fs' : '0.0101', 'temp_eff_fs' : '0.321', 'max_u2' : '2', 'scale_fact_u2' : '3654', 'res_u2' : '0.0209', 'temp_eff_u2' : '1.377', 'temp_scale_min' : '0', 'temp_scale_max' : '40', }</t>
  </si>
  <si>
    <t>'29-12-2021' : {'alfa' : '0.865', 'max_qc' : '50', 'scale_fact_qc' : '1267', 'res_qc' : '0.6022', 'temp_eff_qc' : '16.85', 'beta' : '0', 'max_fs' : '0.5', 'scale_fact_qc' : '3732', 'res_fs' : '0.0102', 'temp_eff_fs' : '0.388', 'max_u2' : '2', 'scale_fact_u2' : '3381', 'res_u2' : '0.0226', 'temp_eff_u2' : '0.699', 'temp_scale_min' : '5', 'temp_scale_max' : '40',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</si>
</sst>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Lucida Sans Unicode"/>
      <family val="2"/>
    </font>
    <font>
      <b/>
      <sz val="11"/>
      <name val="Lucida Sans Unicode"/>
      <family val="2"/>
    </font>
    <font>
      <b/>
      <sz val="11"/>
      <color theme="0"/>
      <name val="Lucida Sans Unicode"/>
      <family val="2"/>
    </font>
    <font>
      <sz val="11"/>
      <color theme="1"/>
      <name val="Lucida Sans Unicode"/>
      <family val="2"/>
    </font>
    <font>
      <vertAlign val="subscript"/>
      <sz val="11"/>
      <color theme="1"/>
      <name val="Lucida Sans Unicode"/>
      <family val="2"/>
    </font>
  </fonts>
  <fills count="6">
    <fill>
      <patternFill patternType="none"/>
    </fill>
    <fill>
      <patternFill patternType="gray125"/>
    </fill>
    <fill>
      <patternFill patternType="solid">
        <fgColor rgb="FFFF9600"/>
        <bgColor indexed="64"/>
      </patternFill>
    </fill>
    <fill>
      <patternFill patternType="solid">
        <fgColor rgb="FF444F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3" fillId="3" borderId="1" xfId="1" applyFont="1" applyFill="1" applyBorder="1" applyAlignment="1">
      <alignment horizontal="center" vertical="center"/>
    </xf>
    <xf numFmtId="0" fontId="1" fillId="0" borderId="0" xfId="1"/>
    <xf numFmtId="0" fontId="4" fillId="0" borderId="1" xfId="1" applyFont="1" applyBorder="1" applyAlignment="1">
      <alignment horizontal="center" vertical="top" wrapText="1"/>
    </xf>
    <xf numFmtId="0" fontId="4" fillId="0" borderId="1" xfId="1" applyFont="1" applyBorder="1" applyAlignment="1">
      <alignment horizontal="center"/>
    </xf>
    <xf numFmtId="164" fontId="4" fillId="0" borderId="1" xfId="1" applyNumberFormat="1" applyFont="1" applyBorder="1" applyAlignment="1">
      <alignment horizontal="center"/>
    </xf>
    <xf numFmtId="0" fontId="1" fillId="0" borderId="1" xfId="1" applyBorder="1"/>
    <xf numFmtId="0" fontId="4" fillId="0" borderId="1" xfId="1" applyFont="1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/>
    </xf>
    <xf numFmtId="0" fontId="1" fillId="0" borderId="0" xfId="1" applyFill="1"/>
    <xf numFmtId="0" fontId="4" fillId="4" borderId="1" xfId="1" applyFont="1" applyFill="1" applyBorder="1" applyAlignment="1">
      <alignment horizontal="center"/>
    </xf>
    <xf numFmtId="0" fontId="4" fillId="5" borderId="1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4" fontId="4" fillId="0" borderId="3" xfId="1" applyNumberFormat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164" fontId="4" fillId="0" borderId="4" xfId="1" applyNumberFormat="1" applyFont="1" applyFill="1" applyBorder="1" applyAlignment="1">
      <alignment horizontal="center"/>
    </xf>
    <xf numFmtId="0" fontId="4" fillId="0" borderId="3" xfId="1" applyFont="1" applyFill="1" applyBorder="1" applyAlignment="1">
      <alignment horizontal="center"/>
    </xf>
    <xf numFmtId="0" fontId="1" fillId="0" borderId="4" xfId="1" applyFill="1" applyBorder="1"/>
    <xf numFmtId="0" fontId="4" fillId="5" borderId="3" xfId="1" applyFont="1" applyFill="1" applyBorder="1" applyAlignment="1">
      <alignment horizontal="center"/>
    </xf>
    <xf numFmtId="0" fontId="4" fillId="0" borderId="0" xfId="1" applyFont="1" applyBorder="1" applyAlignment="1">
      <alignment horizontal="center" vertical="top" wrapText="1"/>
    </xf>
    <xf numFmtId="0" fontId="1" fillId="0" borderId="0" xfId="1" applyBorder="1"/>
    <xf numFmtId="0" fontId="1" fillId="0" borderId="0" xfId="1" applyAlignment="1">
      <alignment horizontal="center"/>
    </xf>
    <xf numFmtId="0" fontId="1" fillId="0" borderId="0" xfId="1" applyFill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1" fontId="4" fillId="0" borderId="3" xfId="1" applyNumberFormat="1" applyFont="1" applyFill="1" applyBorder="1" applyAlignment="1">
      <alignment horizontal="center"/>
    </xf>
    <xf numFmtId="0" fontId="1" fillId="0" borderId="1" xfId="1" applyFill="1" applyBorder="1"/>
    <xf numFmtId="0" fontId="1" fillId="0" borderId="1" xfId="1" applyBorder="1" applyAlignment="1">
      <alignment horizontal="center"/>
    </xf>
    <xf numFmtId="0" fontId="1" fillId="0" borderId="1" xfId="1" applyFill="1" applyBorder="1" applyAlignment="1">
      <alignment horizontal="center"/>
    </xf>
    <xf numFmtId="0" fontId="2" fillId="2" borderId="1" xfId="1" applyFont="1" applyFill="1" applyBorder="1" applyAlignment="1">
      <alignment horizontal="center" vertical="center"/>
    </xf>
    <xf numFmtId="1" fontId="4" fillId="0" borderId="1" xfId="1" applyNumberFormat="1" applyFont="1" applyBorder="1" applyAlignment="1">
      <alignment horizontal="center"/>
    </xf>
    <xf numFmtId="0" fontId="3" fillId="3" borderId="0" xfId="1" applyFont="1" applyFill="1" applyBorder="1" applyAlignment="1">
      <alignment horizontal="center" vertical="center"/>
    </xf>
    <xf numFmtId="0" fontId="1" fillId="0" borderId="0" xfId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164" fontId="4" fillId="0" borderId="0" xfId="1" applyNumberFormat="1" applyFont="1" applyFill="1" applyBorder="1" applyAlignment="1">
      <alignment horizontal="center"/>
    </xf>
    <xf numFmtId="0" fontId="4" fillId="0" borderId="0" xfId="1" applyFont="1" applyBorder="1" applyAlignment="1">
      <alignment horizontal="center"/>
    </xf>
    <xf numFmtId="164" fontId="4" fillId="0" borderId="0" xfId="1" applyNumberFormat="1" applyFont="1" applyBorder="1" applyAlignment="1">
      <alignment horizontal="center"/>
    </xf>
    <xf numFmtId="0" fontId="2" fillId="2" borderId="1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14" fontId="4" fillId="0" borderId="0" xfId="1" applyNumberFormat="1" applyFont="1" applyFill="1" applyBorder="1" applyAlignment="1">
      <alignment horizontal="center"/>
    </xf>
    <xf numFmtId="14" fontId="4" fillId="0" borderId="4" xfId="1" applyNumberFormat="1" applyFont="1" applyFill="1" applyBorder="1" applyAlignment="1">
      <alignment horizontal="center"/>
    </xf>
    <xf numFmtId="14" fontId="4" fillId="0" borderId="0" xfId="1" applyNumberFormat="1" applyFont="1" applyBorder="1" applyAlignment="1">
      <alignment horizontal="center"/>
    </xf>
    <xf numFmtId="0" fontId="1" fillId="0" borderId="0" xfId="1" quotePrefix="1" applyFill="1"/>
    <xf numFmtId="0" fontId="1" fillId="0" borderId="4" xfId="1" quotePrefix="1" applyFill="1" applyBorder="1"/>
  </cellXfs>
  <cellStyles count="2">
    <cellStyle name="Normal" xfId="0" builtinId="0"/>
    <cellStyle name="Normal 2" xfId="1" xr:uid="{7824AB6B-6DDF-47C1-B25E-E83A1BB7C21A}"/>
  </cellStyles>
  <dxfs count="0"/>
  <tableStyles count="0" defaultTableStyle="TableStyleMedium2" defaultPivotStyle="PivotStyleLight16"/>
  <colors>
    <mruColors>
      <color rgb="FFFF9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28</xdr:row>
          <xdr:rowOff>133350</xdr:rowOff>
        </xdr:from>
        <xdr:to>
          <xdr:col>3</xdr:col>
          <xdr:colOff>514350</xdr:colOff>
          <xdr:row>30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8B102-D305-479F-B9B8-1303D88B0092}">
  <sheetPr codeName="S_Cal_Sheets">
    <tabColor rgb="FF7030A0"/>
  </sheetPr>
  <dimension ref="A1:W12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5" sqref="A25:XFD25"/>
    </sheetView>
  </sheetViews>
  <sheetFormatPr defaultColWidth="10.28515625" defaultRowHeight="12.75" x14ac:dyDescent="0.2"/>
  <cols>
    <col min="1" max="1" width="13.28515625" style="8" customWidth="1"/>
    <col min="2" max="2" width="18.7109375" style="22" customWidth="1"/>
    <col min="3" max="3" width="14.42578125" style="8" customWidth="1"/>
    <col min="4" max="4" width="10.140625" style="22" customWidth="1"/>
    <col min="5" max="5" width="18.42578125" style="22" customWidth="1"/>
    <col min="6" max="6" width="19.5703125" style="22" customWidth="1"/>
    <col min="7" max="7" width="20.42578125" style="22" customWidth="1"/>
    <col min="8" max="8" width="14.42578125" style="8" bestFit="1" customWidth="1"/>
    <col min="9" max="9" width="10.140625" style="22" bestFit="1" customWidth="1"/>
    <col min="10" max="10" width="18.42578125" style="22" customWidth="1"/>
    <col min="11" max="11" width="19.5703125" style="22" customWidth="1"/>
    <col min="12" max="12" width="20.42578125" style="22" customWidth="1"/>
    <col min="13" max="13" width="10.140625" style="8" bestFit="1" customWidth="1"/>
    <col min="14" max="14" width="18.42578125" style="22" customWidth="1"/>
    <col min="15" max="15" width="19.5703125" style="22" customWidth="1"/>
    <col min="16" max="16" width="20.42578125" style="22" customWidth="1"/>
    <col min="17" max="18" width="18.5703125" style="8" customWidth="1"/>
    <col min="19" max="19" width="15.140625" style="8" bestFit="1" customWidth="1"/>
    <col min="20" max="16384" width="10.28515625" style="4"/>
  </cols>
  <sheetData>
    <row r="1" spans="1:23" ht="14.25" x14ac:dyDescent="0.2">
      <c r="A1" s="1" t="s">
        <v>0</v>
      </c>
      <c r="B1" s="2"/>
      <c r="C1" s="3" t="s">
        <v>1</v>
      </c>
      <c r="D1" s="32"/>
      <c r="E1" s="32"/>
      <c r="F1" s="32"/>
      <c r="G1" s="32"/>
      <c r="H1" s="38" t="s">
        <v>2</v>
      </c>
      <c r="I1" s="39"/>
      <c r="J1" s="39"/>
      <c r="K1" s="39"/>
      <c r="L1" s="39"/>
      <c r="M1" s="3"/>
      <c r="N1" s="32"/>
      <c r="O1" s="32"/>
      <c r="P1" s="32"/>
      <c r="Q1" s="30" t="s">
        <v>3</v>
      </c>
      <c r="R1" s="30"/>
    </row>
    <row r="2" spans="1:23" s="11" customFormat="1" ht="42.75" x14ac:dyDescent="0.2">
      <c r="A2" s="5" t="s">
        <v>4</v>
      </c>
      <c r="B2" s="21" t="s">
        <v>5</v>
      </c>
      <c r="C2" s="5" t="s">
        <v>6</v>
      </c>
      <c r="D2" s="21" t="s">
        <v>7</v>
      </c>
      <c r="E2" s="21" t="s">
        <v>8</v>
      </c>
      <c r="F2" s="21" t="s">
        <v>9</v>
      </c>
      <c r="G2" s="21" t="s">
        <v>10</v>
      </c>
      <c r="H2" s="5" t="s">
        <v>11</v>
      </c>
      <c r="I2" s="21" t="s">
        <v>12</v>
      </c>
      <c r="J2" s="21" t="s">
        <v>13</v>
      </c>
      <c r="K2" s="21" t="s">
        <v>14</v>
      </c>
      <c r="L2" s="21" t="s">
        <v>15</v>
      </c>
      <c r="M2" s="5" t="s">
        <v>16</v>
      </c>
      <c r="N2" s="21" t="s">
        <v>17</v>
      </c>
      <c r="O2" s="21" t="s">
        <v>18</v>
      </c>
      <c r="P2" s="21" t="s">
        <v>19</v>
      </c>
      <c r="Q2" s="5" t="s">
        <v>20</v>
      </c>
      <c r="R2" s="5"/>
      <c r="S2" s="27"/>
    </row>
    <row r="3" spans="1:23" s="23" customFormat="1" x14ac:dyDescent="0.2">
      <c r="A3" s="28" t="s">
        <v>38</v>
      </c>
      <c r="B3" s="33" t="s">
        <v>39</v>
      </c>
      <c r="C3" s="28" t="s">
        <v>38</v>
      </c>
      <c r="D3" s="33" t="s">
        <v>41</v>
      </c>
      <c r="E3" s="33" t="s">
        <v>38</v>
      </c>
      <c r="F3" s="33" t="s">
        <v>40</v>
      </c>
      <c r="G3" s="33" t="s">
        <v>40</v>
      </c>
      <c r="H3" s="28" t="s">
        <v>38</v>
      </c>
      <c r="I3" s="33" t="s">
        <v>41</v>
      </c>
      <c r="J3" s="33" t="s">
        <v>38</v>
      </c>
      <c r="K3" s="33" t="s">
        <v>40</v>
      </c>
      <c r="L3" s="33" t="s">
        <v>40</v>
      </c>
      <c r="M3" s="28" t="s">
        <v>41</v>
      </c>
      <c r="N3" s="33" t="s">
        <v>38</v>
      </c>
      <c r="O3" s="33" t="s">
        <v>40</v>
      </c>
      <c r="P3" s="33" t="s">
        <v>40</v>
      </c>
      <c r="Q3" s="28" t="s">
        <v>42</v>
      </c>
      <c r="R3" s="28" t="s">
        <v>42</v>
      </c>
      <c r="S3" s="28" t="s">
        <v>25</v>
      </c>
      <c r="T3" s="23" t="s">
        <v>65</v>
      </c>
      <c r="V3" s="23" t="s">
        <v>66</v>
      </c>
      <c r="W3" s="23" t="s">
        <v>67</v>
      </c>
    </row>
    <row r="4" spans="1:23" s="24" customFormat="1" ht="14.25" customHeight="1" x14ac:dyDescent="0.2">
      <c r="A4" s="5" t="s">
        <v>24</v>
      </c>
      <c r="B4" s="21" t="s">
        <v>25</v>
      </c>
      <c r="C4" s="5" t="s">
        <v>21</v>
      </c>
      <c r="D4" s="21" t="s">
        <v>22</v>
      </c>
      <c r="E4" s="21" t="s">
        <v>23</v>
      </c>
      <c r="F4" s="21" t="s">
        <v>26</v>
      </c>
      <c r="G4" s="21" t="s">
        <v>27</v>
      </c>
      <c r="H4" s="5" t="s">
        <v>28</v>
      </c>
      <c r="I4" s="21" t="s">
        <v>29</v>
      </c>
      <c r="J4" s="21" t="s">
        <v>23</v>
      </c>
      <c r="K4" s="21" t="s">
        <v>30</v>
      </c>
      <c r="L4" s="21" t="s">
        <v>31</v>
      </c>
      <c r="M4" s="5" t="s">
        <v>32</v>
      </c>
      <c r="N4" s="21" t="s">
        <v>33</v>
      </c>
      <c r="O4" s="21" t="s">
        <v>34</v>
      </c>
      <c r="P4" s="21" t="s">
        <v>35</v>
      </c>
      <c r="Q4" s="5" t="s">
        <v>36</v>
      </c>
      <c r="R4" s="5" t="s">
        <v>37</v>
      </c>
      <c r="S4" s="29"/>
    </row>
    <row r="5" spans="1:23" s="11" customFormat="1" ht="14.25" x14ac:dyDescent="0.2">
      <c r="A5" s="12">
        <v>4320</v>
      </c>
      <c r="B5" s="40">
        <v>41558</v>
      </c>
      <c r="C5" s="10">
        <v>0.84899999999999998</v>
      </c>
      <c r="D5" s="34">
        <v>50</v>
      </c>
      <c r="E5" s="34">
        <v>1310</v>
      </c>
      <c r="F5" s="35">
        <v>0.58240000000000003</v>
      </c>
      <c r="G5" s="35">
        <v>10.4832</v>
      </c>
      <c r="H5" s="10">
        <v>0</v>
      </c>
      <c r="I5" s="34">
        <v>0.5</v>
      </c>
      <c r="J5" s="34">
        <v>3653</v>
      </c>
      <c r="K5" s="35">
        <v>1.04E-2</v>
      </c>
      <c r="L5" s="35">
        <v>0.27039999999999997</v>
      </c>
      <c r="M5" s="9">
        <v>2</v>
      </c>
      <c r="N5" s="34">
        <v>3642</v>
      </c>
      <c r="O5" s="35">
        <v>2.0899999999999998E-2</v>
      </c>
      <c r="P5" s="35">
        <v>0.29299999999999998</v>
      </c>
      <c r="Q5" s="25">
        <v>0</v>
      </c>
      <c r="R5" s="25">
        <v>40</v>
      </c>
      <c r="S5" s="27" t="str">
        <f>"'" &amp; DAY(B5) &amp; "-" &amp; MONTH(B5) &amp; "-" &amp; YEAR(B5) &amp; "' : "</f>
        <v xml:space="preserve">'11-10-2013' : </v>
      </c>
      <c r="T5" s="43" t="s">
        <v>43</v>
      </c>
      <c r="U5" s="43" t="s">
        <v>64</v>
      </c>
      <c r="V5" s="11" t="str">
        <f>S5&amp; "{'" &amp; T5 &amp; "}"</f>
        <v>'11-10-2013' : {'alfa' : '0.849', 'max_qc' : '50', 'scale_fact_qc' : '1310', 'res_qc' : '0.5824', 'temp_eff_qc' : '10.4832', 'beta' : '0', 'max_fs' : '0.5', 'scale_fact_qc' : '3653', 'res_fs' : '0.0104', 'temp_eff_fs' : '0.2704', 'max_u2' : '2', 'scale_fact_u2' : '3642', 'res_u2' : '0.0209', 'temp_eff_u2' : '0.293', 'temp_scale_min' : '0', 'temp_scale_max' : '40', }</v>
      </c>
      <c r="W5" s="11" t="s">
        <v>68</v>
      </c>
    </row>
    <row r="6" spans="1:23" s="11" customFormat="1" ht="14.25" x14ac:dyDescent="0.2">
      <c r="A6" s="12">
        <v>4320</v>
      </c>
      <c r="B6" s="40">
        <v>42510</v>
      </c>
      <c r="C6" s="10">
        <v>0.83</v>
      </c>
      <c r="D6" s="34">
        <v>50</v>
      </c>
      <c r="E6" s="34">
        <v>1291</v>
      </c>
      <c r="F6" s="35">
        <v>0.59099999999999997</v>
      </c>
      <c r="G6" s="35">
        <v>7.6779999999999999</v>
      </c>
      <c r="H6" s="10">
        <v>2E-3</v>
      </c>
      <c r="I6" s="34">
        <v>0.5</v>
      </c>
      <c r="J6" s="34">
        <v>3668</v>
      </c>
      <c r="K6" s="35">
        <v>1.04E-2</v>
      </c>
      <c r="L6" s="35">
        <v>0.10299999999999999</v>
      </c>
      <c r="M6" s="9">
        <v>2</v>
      </c>
      <c r="N6" s="34">
        <v>3642</v>
      </c>
      <c r="O6" s="35">
        <v>2.0899999999999998E-2</v>
      </c>
      <c r="P6" s="35">
        <v>0.29299999999999998</v>
      </c>
      <c r="Q6" s="25">
        <v>0</v>
      </c>
      <c r="R6" s="25">
        <v>40</v>
      </c>
      <c r="S6" s="27" t="str">
        <f t="shared" ref="S6:S25" si="0">"'" &amp; DAY(B6) &amp; "-" &amp; MONTH(B6) &amp; "-" &amp; YEAR(B6) &amp; "' : "</f>
        <v xml:space="preserve">'20-5-2016' : </v>
      </c>
      <c r="T6" s="43" t="s">
        <v>44</v>
      </c>
      <c r="U6" s="43" t="s">
        <v>64</v>
      </c>
      <c r="V6" s="11" t="str">
        <f t="shared" ref="V6:V25" si="1">S6&amp; "{'" &amp; T6 &amp; "}"</f>
        <v>'20-5-2016' : {'alfa' : '0.83', 'max_qc' : '50', 'scale_fact_qc' : '1291', 'res_qc' : '0.591', 'temp_eff_qc' : '7.678', 'beta' : '0.002', 'max_fs' : '0.5', 'scale_fact_qc' : '3668', 'res_fs' : '0.0104', 'temp_eff_fs' : '0.103', 'max_u2' : '2', 'scale_fact_u2' : '3642', 'res_u2' : '0.0209', 'temp_eff_u2' : '0.293', 'temp_scale_min' : '0', 'temp_scale_max' : '40', }</v>
      </c>
      <c r="W6" s="11" t="s">
        <v>69</v>
      </c>
    </row>
    <row r="7" spans="1:23" s="19" customFormat="1" ht="14.25" x14ac:dyDescent="0.2">
      <c r="A7" s="14">
        <v>4320</v>
      </c>
      <c r="B7" s="41">
        <v>43733</v>
      </c>
      <c r="C7" s="15">
        <v>0.86399999999999999</v>
      </c>
      <c r="D7" s="16">
        <v>50</v>
      </c>
      <c r="E7" s="16">
        <v>1298</v>
      </c>
      <c r="F7" s="17">
        <v>0.57779999999999998</v>
      </c>
      <c r="G7" s="17">
        <v>15.273</v>
      </c>
      <c r="H7" s="15">
        <v>0</v>
      </c>
      <c r="I7" s="16">
        <v>0.5</v>
      </c>
      <c r="J7" s="16">
        <v>3679</v>
      </c>
      <c r="K7" s="17">
        <v>1.04E-2</v>
      </c>
      <c r="L7" s="17">
        <v>0.248</v>
      </c>
      <c r="M7" s="18">
        <v>2</v>
      </c>
      <c r="N7" s="16">
        <v>3661</v>
      </c>
      <c r="O7" s="17">
        <v>2.0799999999999999E-2</v>
      </c>
      <c r="P7" s="17">
        <v>0.374</v>
      </c>
      <c r="Q7" s="26">
        <v>5</v>
      </c>
      <c r="R7" s="26">
        <v>40</v>
      </c>
      <c r="S7" s="27" t="str">
        <f t="shared" si="0"/>
        <v xml:space="preserve">'25-9-2019' : </v>
      </c>
      <c r="T7" s="44" t="s">
        <v>45</v>
      </c>
      <c r="U7" s="43" t="s">
        <v>64</v>
      </c>
      <c r="V7" s="11" t="str">
        <f t="shared" si="1"/>
        <v>'25-9-2019' : {'alfa' : '0.864', 'max_qc' : '50', 'scale_fact_qc' : '1298', 'res_qc' : '0.5778', 'temp_eff_qc' : '15.273', 'beta' : '0', 'max_fs' : '0.5', 'scale_fact_qc' : '3679', 'res_fs' : '0.0104', 'temp_eff_fs' : '0.248', 'max_u2' : '2', 'scale_fact_u2' : '3661', 'res_u2' : '0.0208', 'temp_eff_u2' : '0.374', 'temp_scale_min' : '5', 'temp_scale_max' : '40', }</v>
      </c>
      <c r="W7" s="19" t="s">
        <v>70</v>
      </c>
    </row>
    <row r="8" spans="1:23" s="11" customFormat="1" ht="14.25" x14ac:dyDescent="0.2">
      <c r="A8" s="13">
        <v>4364</v>
      </c>
      <c r="B8" s="40">
        <v>40533</v>
      </c>
      <c r="C8" s="10">
        <v>0.81</v>
      </c>
      <c r="D8" s="34">
        <v>50</v>
      </c>
      <c r="E8" s="34">
        <v>1267</v>
      </c>
      <c r="F8" s="35">
        <v>0.60219999999999996</v>
      </c>
      <c r="G8" s="35">
        <v>19.270399999999999</v>
      </c>
      <c r="H8" s="10">
        <v>0</v>
      </c>
      <c r="I8" s="34">
        <v>0.5</v>
      </c>
      <c r="J8" s="34">
        <v>3615</v>
      </c>
      <c r="K8" s="35">
        <v>1.06E-2</v>
      </c>
      <c r="L8" s="35">
        <v>0.3604</v>
      </c>
      <c r="M8" s="9">
        <v>2</v>
      </c>
      <c r="N8" s="34">
        <v>3798</v>
      </c>
      <c r="O8" s="35">
        <v>2.01E-2</v>
      </c>
      <c r="P8" s="35">
        <v>0.54269999999999996</v>
      </c>
      <c r="Q8" s="25">
        <v>0</v>
      </c>
      <c r="R8" s="25">
        <v>40</v>
      </c>
      <c r="S8" s="27" t="str">
        <f t="shared" si="0"/>
        <v xml:space="preserve">'21-12-2010' : </v>
      </c>
      <c r="T8" s="43" t="s">
        <v>46</v>
      </c>
      <c r="U8" s="43" t="s">
        <v>64</v>
      </c>
      <c r="V8" s="11" t="str">
        <f t="shared" si="1"/>
        <v>'21-12-2010' : {'alfa' : '0.81', 'max_qc' : '50', 'scale_fact_qc' : '1267', 'res_qc' : '0.6022', 'temp_eff_qc' : '19.2704', 'beta' : '0', 'max_fs' : '0.5', 'scale_fact_qc' : '3615', 'res_fs' : '0.0106', 'temp_eff_fs' : '0.3604', 'max_u2' : '2', 'scale_fact_u2' : '3798', 'res_u2' : '0.0201', 'temp_eff_u2' : '0.5427', 'temp_scale_min' : '0', 'temp_scale_max' : '40', }</v>
      </c>
      <c r="W8" s="11" t="s">
        <v>71</v>
      </c>
    </row>
    <row r="9" spans="1:23" s="11" customFormat="1" ht="14.25" x14ac:dyDescent="0.2">
      <c r="A9" s="13">
        <v>4364</v>
      </c>
      <c r="B9" s="40">
        <v>41158</v>
      </c>
      <c r="C9" s="10">
        <v>0.83799999999999997</v>
      </c>
      <c r="D9" s="34">
        <v>50</v>
      </c>
      <c r="E9" s="34">
        <v>1268</v>
      </c>
      <c r="F9" s="35">
        <v>0.60170000000000001</v>
      </c>
      <c r="G9" s="35">
        <v>77.619299999999996</v>
      </c>
      <c r="H9" s="10">
        <v>0</v>
      </c>
      <c r="I9" s="34">
        <v>0.5</v>
      </c>
      <c r="J9" s="34">
        <v>3555</v>
      </c>
      <c r="K9" s="35">
        <v>1.0699999999999999E-2</v>
      </c>
      <c r="L9" s="35">
        <v>1.4873000000000001</v>
      </c>
      <c r="M9" s="9">
        <v>2</v>
      </c>
      <c r="N9" s="34">
        <v>3788</v>
      </c>
      <c r="O9" s="35">
        <v>2.01E-2</v>
      </c>
      <c r="P9" s="35">
        <v>0.56279999999999997</v>
      </c>
      <c r="Q9" s="25">
        <v>0</v>
      </c>
      <c r="R9" s="25">
        <v>40</v>
      </c>
      <c r="S9" s="27" t="str">
        <f t="shared" si="0"/>
        <v xml:space="preserve">'6-9-2012' : </v>
      </c>
      <c r="T9" s="43" t="s">
        <v>47</v>
      </c>
      <c r="U9" s="43" t="s">
        <v>64</v>
      </c>
      <c r="V9" s="11" t="str">
        <f t="shared" si="1"/>
        <v>'6-9-2012' : {'alfa' : '0.838', 'max_qc' : '50', 'scale_fact_qc' : '1268', 'res_qc' : '0.6017', 'temp_eff_qc' : '77.6193', 'beta' : '0', 'max_fs' : '0.5', 'scale_fact_qc' : '3555', 'res_fs' : '0.0107', 'temp_eff_fs' : '1.4873', 'max_u2' : '2', 'scale_fact_u2' : '3788', 'res_u2' : '0.0201', 'temp_eff_u2' : '0.5628', 'temp_scale_min' : '0', 'temp_scale_max' : '40', }</v>
      </c>
      <c r="W9" s="11" t="s">
        <v>72</v>
      </c>
    </row>
    <row r="10" spans="1:23" s="11" customFormat="1" ht="14.25" x14ac:dyDescent="0.2">
      <c r="A10" s="13">
        <v>4364</v>
      </c>
      <c r="B10" s="40">
        <v>41585</v>
      </c>
      <c r="C10" s="10">
        <v>0.84199999999999997</v>
      </c>
      <c r="D10" s="34">
        <v>50</v>
      </c>
      <c r="E10" s="34">
        <v>1277</v>
      </c>
      <c r="F10" s="35">
        <v>0.59740000000000004</v>
      </c>
      <c r="G10" s="35">
        <v>30.467400000000001</v>
      </c>
      <c r="H10" s="10">
        <v>0</v>
      </c>
      <c r="I10" s="34">
        <v>0.5</v>
      </c>
      <c r="J10" s="34">
        <v>3634</v>
      </c>
      <c r="K10" s="35">
        <v>1.0500000000000001E-2</v>
      </c>
      <c r="L10" s="35">
        <v>0.74550000000000005</v>
      </c>
      <c r="M10" s="9">
        <v>2</v>
      </c>
      <c r="N10" s="34">
        <v>3788</v>
      </c>
      <c r="O10" s="35">
        <v>2.01E-2</v>
      </c>
      <c r="P10" s="35">
        <v>0.70350000000000001</v>
      </c>
      <c r="Q10" s="25">
        <v>0</v>
      </c>
      <c r="R10" s="25">
        <v>40</v>
      </c>
      <c r="S10" s="27" t="str">
        <f t="shared" si="0"/>
        <v xml:space="preserve">'7-11-2013' : </v>
      </c>
      <c r="T10" s="43" t="s">
        <v>48</v>
      </c>
      <c r="U10" s="43" t="s">
        <v>64</v>
      </c>
      <c r="V10" s="11" t="str">
        <f t="shared" si="1"/>
        <v>'7-11-2013' : {'alfa' : '0.842', 'max_qc' : '50', 'scale_fact_qc' : '1277', 'res_qc' : '0.5974', 'temp_eff_qc' : '30.4674', 'beta' : '0', 'max_fs' : '0.5', 'scale_fact_qc' : '3634', 'res_fs' : '0.0105', 'temp_eff_fs' : '0.7455', 'max_u2' : '2', 'scale_fact_u2' : '3788', 'res_u2' : '0.0201', 'temp_eff_u2' : '0.7035', 'temp_scale_min' : '0', 'temp_scale_max' : '40', }</v>
      </c>
      <c r="W10" s="11" t="s">
        <v>73</v>
      </c>
    </row>
    <row r="11" spans="1:23" s="11" customFormat="1" ht="14.25" x14ac:dyDescent="0.2">
      <c r="A11" s="13">
        <v>4364</v>
      </c>
      <c r="B11" s="40">
        <v>42188</v>
      </c>
      <c r="C11" s="10">
        <v>0.83899999999999997</v>
      </c>
      <c r="D11" s="34">
        <v>50</v>
      </c>
      <c r="E11" s="34">
        <v>1278</v>
      </c>
      <c r="F11" s="35">
        <v>0.59699999999999998</v>
      </c>
      <c r="G11" s="35">
        <v>22.686</v>
      </c>
      <c r="H11" s="10">
        <v>0</v>
      </c>
      <c r="I11" s="34">
        <v>0.5</v>
      </c>
      <c r="J11" s="34">
        <v>3648</v>
      </c>
      <c r="K11" s="35">
        <v>1.04E-2</v>
      </c>
      <c r="L11" s="35">
        <v>0.43680000000000002</v>
      </c>
      <c r="M11" s="9">
        <v>2</v>
      </c>
      <c r="N11" s="34">
        <v>3778</v>
      </c>
      <c r="O11" s="35">
        <v>2.0199999999999999E-2</v>
      </c>
      <c r="P11" s="35">
        <v>0.80800000000000005</v>
      </c>
      <c r="Q11" s="25">
        <v>0</v>
      </c>
      <c r="R11" s="25">
        <v>40</v>
      </c>
      <c r="S11" s="27" t="str">
        <f t="shared" si="0"/>
        <v xml:space="preserve">'3-7-2015' : </v>
      </c>
      <c r="T11" s="43" t="s">
        <v>49</v>
      </c>
      <c r="U11" s="43" t="s">
        <v>64</v>
      </c>
      <c r="V11" s="11" t="str">
        <f t="shared" si="1"/>
        <v>'3-7-2015' : {'alfa' : '0.839', 'max_qc' : '50', 'scale_fact_qc' : '1278', 'res_qc' : '0.597', 'temp_eff_qc' : '22.686', 'beta' : '0', 'max_fs' : '0.5', 'scale_fact_qc' : '3648', 'res_fs' : '0.0104', 'temp_eff_fs' : '0.4368', 'max_u2' : '2', 'scale_fact_u2' : '3778', 'res_u2' : '0.0202', 'temp_eff_u2' : '0.808', 'temp_scale_min' : '0', 'temp_scale_max' : '40', }</v>
      </c>
      <c r="W11" s="11" t="s">
        <v>74</v>
      </c>
    </row>
    <row r="12" spans="1:23" s="11" customFormat="1" ht="14.25" x14ac:dyDescent="0.2">
      <c r="A12" s="13">
        <v>4364</v>
      </c>
      <c r="B12" s="40">
        <v>43395</v>
      </c>
      <c r="C12" s="10">
        <v>0.86</v>
      </c>
      <c r="D12" s="34">
        <v>50</v>
      </c>
      <c r="E12" s="34">
        <v>1275</v>
      </c>
      <c r="F12" s="35">
        <v>0.59840000000000004</v>
      </c>
      <c r="G12" s="35">
        <v>22.725000000000001</v>
      </c>
      <c r="H12" s="10">
        <v>0</v>
      </c>
      <c r="I12" s="34">
        <v>0.5</v>
      </c>
      <c r="J12" s="34">
        <v>3651</v>
      </c>
      <c r="K12" s="35">
        <v>1.04E-2</v>
      </c>
      <c r="L12" s="35">
        <v>0.375</v>
      </c>
      <c r="M12" s="9">
        <v>2</v>
      </c>
      <c r="N12" s="34">
        <v>3769</v>
      </c>
      <c r="O12" s="35">
        <v>2.0199999999999999E-2</v>
      </c>
      <c r="P12" s="35">
        <v>0.28299999999999997</v>
      </c>
      <c r="Q12" s="25">
        <v>0</v>
      </c>
      <c r="R12" s="25">
        <v>40</v>
      </c>
      <c r="S12" s="27" t="str">
        <f t="shared" si="0"/>
        <v xml:space="preserve">'22-10-2018' : </v>
      </c>
      <c r="T12" s="43" t="s">
        <v>50</v>
      </c>
      <c r="U12" s="43" t="s">
        <v>64</v>
      </c>
      <c r="V12" s="11" t="str">
        <f t="shared" si="1"/>
        <v>'22-10-2018' : {'alfa' : '0.86', 'max_qc' : '50', 'scale_fact_qc' : '1275', 'res_qc' : '0.5984', 'temp_eff_qc' : '22.725', 'beta' : '0', 'max_fs' : '0.5', 'scale_fact_qc' : '3651', 'res_fs' : '0.0104', 'temp_eff_fs' : '0.375', 'max_u2' : '2', 'scale_fact_u2' : '3769', 'res_u2' : '0.0202', 'temp_eff_u2' : '0.283', 'temp_scale_min' : '0', 'temp_scale_max' : '40', }</v>
      </c>
      <c r="W12" s="11" t="s">
        <v>75</v>
      </c>
    </row>
    <row r="13" spans="1:23" s="11" customFormat="1" ht="14.25" x14ac:dyDescent="0.2">
      <c r="A13" s="13">
        <v>4364</v>
      </c>
      <c r="B13" s="40">
        <v>43852</v>
      </c>
      <c r="C13" s="10">
        <v>0.85899999999999999</v>
      </c>
      <c r="D13" s="34">
        <v>50</v>
      </c>
      <c r="E13" s="34">
        <v>1269</v>
      </c>
      <c r="F13" s="35">
        <v>0.60119999999999996</v>
      </c>
      <c r="G13" s="35">
        <v>10.815</v>
      </c>
      <c r="H13" s="10">
        <v>0</v>
      </c>
      <c r="I13" s="34">
        <v>0.5</v>
      </c>
      <c r="J13" s="34">
        <v>3642</v>
      </c>
      <c r="K13" s="35">
        <v>1.0500000000000001E-2</v>
      </c>
      <c r="L13" s="35">
        <v>0.23</v>
      </c>
      <c r="M13" s="9">
        <v>2</v>
      </c>
      <c r="N13" s="34">
        <v>3779</v>
      </c>
      <c r="O13" s="35">
        <v>2.0199999999999999E-2</v>
      </c>
      <c r="P13" s="35">
        <v>0.86699999999999999</v>
      </c>
      <c r="Q13" s="25">
        <v>0</v>
      </c>
      <c r="R13" s="25">
        <v>40</v>
      </c>
      <c r="S13" s="27" t="str">
        <f t="shared" si="0"/>
        <v xml:space="preserve">'22-1-2020' : </v>
      </c>
      <c r="T13" s="43" t="s">
        <v>51</v>
      </c>
      <c r="U13" s="43" t="s">
        <v>64</v>
      </c>
      <c r="V13" s="11" t="str">
        <f t="shared" si="1"/>
        <v>'22-1-2020' : {'alfa' : '0.859', 'max_qc' : '50', 'scale_fact_qc' : '1269', 'res_qc' : '0.6012', 'temp_eff_qc' : '10.815', 'beta' : '0', 'max_fs' : '0.5', 'scale_fact_qc' : '3642', 'res_fs' : '0.0105', 'temp_eff_fs' : '0.23', 'max_u2' : '2', 'scale_fact_u2' : '3779', 'res_u2' : '0.0202', 'temp_eff_u2' : '0.867', 'temp_scale_min' : '0', 'temp_scale_max' : '40', }</v>
      </c>
      <c r="W13" s="11" t="s">
        <v>76</v>
      </c>
    </row>
    <row r="14" spans="1:23" s="11" customFormat="1" ht="14.25" x14ac:dyDescent="0.2">
      <c r="A14" s="13">
        <v>4364</v>
      </c>
      <c r="B14" s="40">
        <v>44621</v>
      </c>
      <c r="C14" s="10">
        <v>0.873</v>
      </c>
      <c r="D14" s="34">
        <v>50</v>
      </c>
      <c r="E14" s="34">
        <v>1268</v>
      </c>
      <c r="F14" s="35">
        <v>0.60170000000000001</v>
      </c>
      <c r="G14" s="35">
        <v>23.452000000000002</v>
      </c>
      <c r="H14" s="10">
        <v>0</v>
      </c>
      <c r="I14" s="34">
        <v>0.5</v>
      </c>
      <c r="J14" s="34">
        <v>3639</v>
      </c>
      <c r="K14" s="35">
        <v>1.0500000000000001E-2</v>
      </c>
      <c r="L14" s="35">
        <v>0.49199999999999999</v>
      </c>
      <c r="M14" s="9">
        <v>2</v>
      </c>
      <c r="N14" s="34">
        <v>3794</v>
      </c>
      <c r="O14" s="35">
        <v>2.01E-2</v>
      </c>
      <c r="P14" s="35">
        <v>1.849</v>
      </c>
      <c r="Q14" s="25">
        <v>5</v>
      </c>
      <c r="R14" s="25">
        <v>40</v>
      </c>
      <c r="S14" s="27" t="str">
        <f t="shared" si="0"/>
        <v xml:space="preserve">'1-3-2022' : </v>
      </c>
      <c r="T14" s="43" t="s">
        <v>52</v>
      </c>
      <c r="U14" s="43" t="s">
        <v>64</v>
      </c>
      <c r="V14" s="11" t="str">
        <f t="shared" si="1"/>
        <v>'1-3-2022' : {'alfa' : '0.873', 'max_qc' : '50', 'scale_fact_qc' : '1268', 'res_qc' : '0.6017', 'temp_eff_qc' : '23.452', 'beta' : '0', 'max_fs' : '0.5', 'scale_fact_qc' : '3639', 'res_fs' : '0.0105', 'temp_eff_fs' : '0.492', 'max_u2' : '2', 'scale_fact_u2' : '3794', 'res_u2' : '0.0201', 'temp_eff_u2' : '1.849', 'temp_scale_min' : '5', 'temp_scale_max' : '40', }</v>
      </c>
      <c r="W14" s="11" t="s">
        <v>77</v>
      </c>
    </row>
    <row r="15" spans="1:23" s="19" customFormat="1" ht="14.25" x14ac:dyDescent="0.2">
      <c r="A15" s="20">
        <v>4364</v>
      </c>
      <c r="B15" s="41">
        <v>44868</v>
      </c>
      <c r="C15" s="15">
        <v>0.87</v>
      </c>
      <c r="D15" s="16">
        <v>50</v>
      </c>
      <c r="E15" s="16">
        <v>1269</v>
      </c>
      <c r="F15" s="17">
        <v>0.60119999999999996</v>
      </c>
      <c r="G15" s="17">
        <v>11.416</v>
      </c>
      <c r="H15" s="15">
        <v>0</v>
      </c>
      <c r="I15" s="16">
        <v>0.5</v>
      </c>
      <c r="J15" s="16">
        <v>3641</v>
      </c>
      <c r="K15" s="17">
        <v>1.0500000000000001E-2</v>
      </c>
      <c r="L15" s="17">
        <v>0.33500000000000002</v>
      </c>
      <c r="M15" s="18">
        <v>2</v>
      </c>
      <c r="N15" s="16">
        <v>3794</v>
      </c>
      <c r="O15" s="17">
        <v>2.01E-2</v>
      </c>
      <c r="P15" s="17">
        <v>0.502</v>
      </c>
      <c r="Q15" s="26">
        <v>5</v>
      </c>
      <c r="R15" s="26">
        <v>40</v>
      </c>
      <c r="S15" s="27" t="str">
        <f t="shared" si="0"/>
        <v xml:space="preserve">'3-11-2022' : </v>
      </c>
      <c r="T15" s="44" t="s">
        <v>53</v>
      </c>
      <c r="U15" s="43" t="s">
        <v>64</v>
      </c>
      <c r="V15" s="11" t="str">
        <f t="shared" si="1"/>
        <v>'3-11-2022' : {'alfa' : '0.87', 'max_qc' : '50', 'scale_fact_qc' : '1269', 'res_qc' : '0.6012', 'temp_eff_qc' : '11.416', 'beta' : '0', 'max_fs' : '0.5', 'scale_fact_qc' : '3641', 'res_fs' : '0.0105', 'temp_eff_fs' : '0.335', 'max_u2' : '2', 'scale_fact_u2' : '3794', 'res_u2' : '0.0201', 'temp_eff_u2' : '0.502', 'temp_scale_min' : '5', 'temp_scale_max' : '40', }</v>
      </c>
      <c r="W15" s="19" t="s">
        <v>78</v>
      </c>
    </row>
    <row r="16" spans="1:23" s="11" customFormat="1" ht="14.25" x14ac:dyDescent="0.2">
      <c r="A16" s="12">
        <v>4458</v>
      </c>
      <c r="B16" s="40">
        <v>40865</v>
      </c>
      <c r="C16" s="10">
        <v>0.85199999999999998</v>
      </c>
      <c r="D16" s="34">
        <v>50</v>
      </c>
      <c r="E16" s="34">
        <v>1251</v>
      </c>
      <c r="F16" s="35">
        <v>0.6099</v>
      </c>
      <c r="G16" s="35">
        <v>31.104900000000001</v>
      </c>
      <c r="H16" s="10">
        <v>0</v>
      </c>
      <c r="I16" s="34">
        <v>0.5</v>
      </c>
      <c r="J16" s="34">
        <v>3753</v>
      </c>
      <c r="K16" s="35">
        <v>1.01E-2</v>
      </c>
      <c r="L16" s="35">
        <v>0.43430000000000002</v>
      </c>
      <c r="M16" s="9">
        <v>2</v>
      </c>
      <c r="N16" s="34">
        <v>3365</v>
      </c>
      <c r="O16" s="35">
        <v>2.2700000000000001E-2</v>
      </c>
      <c r="P16" s="35">
        <v>0.88529999999999998</v>
      </c>
      <c r="Q16" s="25">
        <v>0</v>
      </c>
      <c r="R16" s="25">
        <v>40</v>
      </c>
      <c r="S16" s="27" t="str">
        <f t="shared" si="0"/>
        <v xml:space="preserve">'18-11-2011' : </v>
      </c>
      <c r="T16" s="43" t="s">
        <v>54</v>
      </c>
      <c r="U16" s="43" t="s">
        <v>64</v>
      </c>
      <c r="V16" s="11" t="str">
        <f t="shared" si="1"/>
        <v>'18-11-2011' : {'alfa' : '0.852', 'max_qc' : '50', 'scale_fact_qc' : '1251', 'res_qc' : '0.6099', 'temp_eff_qc' : '31.1049', 'beta' : '0', 'max_fs' : '0.5', 'scale_fact_qc' : '3753', 'res_fs' : '0.0101', 'temp_eff_fs' : '0.4343', 'max_u2' : '2', 'scale_fact_u2' : '3365', 'res_u2' : '0.0227', 'temp_eff_u2' : '0.8853', 'temp_scale_min' : '0', 'temp_scale_max' : '40', }</v>
      </c>
      <c r="W16" s="11" t="s">
        <v>79</v>
      </c>
    </row>
    <row r="17" spans="1:23" s="11" customFormat="1" ht="14.25" x14ac:dyDescent="0.2">
      <c r="A17" s="12">
        <v>4458</v>
      </c>
      <c r="B17" s="40">
        <v>41452</v>
      </c>
      <c r="C17" s="10">
        <v>0.82</v>
      </c>
      <c r="D17" s="34">
        <v>50</v>
      </c>
      <c r="E17" s="34">
        <v>1271</v>
      </c>
      <c r="F17" s="35">
        <v>0.60029999999999994</v>
      </c>
      <c r="G17" s="35">
        <v>33.016500000000001</v>
      </c>
      <c r="H17" s="10">
        <v>0</v>
      </c>
      <c r="I17" s="34">
        <v>0.5</v>
      </c>
      <c r="J17" s="34">
        <v>3748</v>
      </c>
      <c r="K17" s="35">
        <v>1.0200000000000001E-2</v>
      </c>
      <c r="L17" s="35">
        <v>0.61199999999999999</v>
      </c>
      <c r="M17" s="9">
        <v>2</v>
      </c>
      <c r="N17" s="34">
        <v>3369</v>
      </c>
      <c r="O17" s="35">
        <v>2.2599999999999999E-2</v>
      </c>
      <c r="P17" s="35">
        <v>0.36159999999999998</v>
      </c>
      <c r="Q17" s="25">
        <v>0</v>
      </c>
      <c r="R17" s="25">
        <v>40</v>
      </c>
      <c r="S17" s="27" t="str">
        <f t="shared" si="0"/>
        <v xml:space="preserve">'27-6-2013' : </v>
      </c>
      <c r="T17" s="43" t="s">
        <v>55</v>
      </c>
      <c r="U17" s="43" t="s">
        <v>64</v>
      </c>
      <c r="V17" s="11" t="str">
        <f t="shared" si="1"/>
        <v>'27-6-2013' : {'alfa' : '0.82', 'max_qc' : '50', 'scale_fact_qc' : '1271', 'res_qc' : '0.6003', 'temp_eff_qc' : '33.0165', 'beta' : '0', 'max_fs' : '0.5', 'scale_fact_qc' : '3748', 'res_fs' : '0.0102', 'temp_eff_fs' : '0.612', 'max_u2' : '2', 'scale_fact_u2' : '3369', 'res_u2' : '0.0226', 'temp_eff_u2' : '0.3616', 'temp_scale_min' : '0', 'temp_scale_max' : '40', }</v>
      </c>
      <c r="W17" s="11" t="s">
        <v>80</v>
      </c>
    </row>
    <row r="18" spans="1:23" s="11" customFormat="1" ht="14.25" x14ac:dyDescent="0.2">
      <c r="A18" s="12">
        <v>4458</v>
      </c>
      <c r="B18" s="40">
        <v>41745</v>
      </c>
      <c r="C18" s="10">
        <v>0.83799999999999997</v>
      </c>
      <c r="D18" s="34">
        <v>50</v>
      </c>
      <c r="E18" s="34">
        <v>1258</v>
      </c>
      <c r="F18" s="35">
        <v>0.60650000000000004</v>
      </c>
      <c r="G18" s="35">
        <v>48.52</v>
      </c>
      <c r="H18" s="10">
        <v>1E-3</v>
      </c>
      <c r="I18" s="34">
        <v>0.5</v>
      </c>
      <c r="J18" s="34">
        <v>3700</v>
      </c>
      <c r="K18" s="35">
        <v>1.03E-2</v>
      </c>
      <c r="L18" s="35">
        <v>0.9476</v>
      </c>
      <c r="M18" s="9">
        <v>2</v>
      </c>
      <c r="N18" s="34">
        <v>3365</v>
      </c>
      <c r="O18" s="35">
        <v>2.2700000000000001E-2</v>
      </c>
      <c r="P18" s="35">
        <v>0.45400000000000001</v>
      </c>
      <c r="Q18" s="25">
        <v>0</v>
      </c>
      <c r="R18" s="25">
        <v>40</v>
      </c>
      <c r="S18" s="27" t="str">
        <f t="shared" si="0"/>
        <v xml:space="preserve">'16-4-2014' : </v>
      </c>
      <c r="T18" s="43" t="s">
        <v>56</v>
      </c>
      <c r="U18" s="43" t="s">
        <v>64</v>
      </c>
      <c r="V18" s="11" t="str">
        <f t="shared" si="1"/>
        <v>'16-4-2014' : {'alfa' : '0.838', 'max_qc' : '50', 'scale_fact_qc' : '1258', 'res_qc' : '0.6065', 'temp_eff_qc' : '48.52', 'beta' : '0.001', 'max_fs' : '0.5', 'scale_fact_qc' : '3700', 'res_fs' : '0.0103', 'temp_eff_fs' : '0.9476', 'max_u2' : '2', 'scale_fact_u2' : '3365', 'res_u2' : '0.0227', 'temp_eff_u2' : '0.454', 'temp_scale_min' : '0', 'temp_scale_max' : '40', }</v>
      </c>
      <c r="W18" s="11" t="s">
        <v>81</v>
      </c>
    </row>
    <row r="19" spans="1:23" s="11" customFormat="1" ht="14.25" x14ac:dyDescent="0.2">
      <c r="A19" s="12">
        <v>4458</v>
      </c>
      <c r="B19" s="40">
        <v>42499</v>
      </c>
      <c r="C19" s="10">
        <v>0.83699999999999997</v>
      </c>
      <c r="D19" s="34">
        <v>50</v>
      </c>
      <c r="E19" s="34">
        <v>1267</v>
      </c>
      <c r="F19" s="35">
        <v>0.60219999999999996</v>
      </c>
      <c r="G19" s="35">
        <v>39.118000000000002</v>
      </c>
      <c r="H19" s="10">
        <v>0</v>
      </c>
      <c r="I19" s="34">
        <v>0.5</v>
      </c>
      <c r="J19" s="34">
        <v>3736</v>
      </c>
      <c r="K19" s="35">
        <v>1.0200000000000001E-2</v>
      </c>
      <c r="L19" s="35">
        <v>0.59099999999999997</v>
      </c>
      <c r="M19" s="9">
        <v>2</v>
      </c>
      <c r="N19" s="34">
        <v>3355</v>
      </c>
      <c r="O19" s="35">
        <v>2.2700000000000001E-2</v>
      </c>
      <c r="P19" s="35">
        <v>0.95399999999999996</v>
      </c>
      <c r="Q19" s="25">
        <v>0</v>
      </c>
      <c r="R19" s="25">
        <v>40</v>
      </c>
      <c r="S19" s="27" t="str">
        <f t="shared" si="0"/>
        <v xml:space="preserve">'9-5-2016' : </v>
      </c>
      <c r="T19" s="43" t="s">
        <v>57</v>
      </c>
      <c r="U19" s="43" t="s">
        <v>64</v>
      </c>
      <c r="V19" s="11" t="str">
        <f t="shared" si="1"/>
        <v>'9-5-2016' : {'alfa' : '0.837', 'max_qc' : '50', 'scale_fact_qc' : '1267', 'res_qc' : '0.6022', 'temp_eff_qc' : '39.118', 'beta' : '0', 'max_fs' : '0.5', 'scale_fact_qc' : '3736', 'res_fs' : '0.0102', 'temp_eff_fs' : '0.591', 'max_u2' : '2', 'scale_fact_u2' : '3355', 'res_u2' : '0.0227', 'temp_eff_u2' : '0.954', 'temp_scale_min' : '0', 'temp_scale_max' : '40', }</v>
      </c>
      <c r="W19" s="11" t="s">
        <v>82</v>
      </c>
    </row>
    <row r="20" spans="1:23" s="11" customFormat="1" ht="14.25" x14ac:dyDescent="0.2">
      <c r="A20" s="12">
        <v>4458</v>
      </c>
      <c r="B20" s="40">
        <v>42887</v>
      </c>
      <c r="C20" s="10">
        <v>0.85399999999999998</v>
      </c>
      <c r="D20" s="34">
        <v>50</v>
      </c>
      <c r="E20" s="34">
        <v>1266</v>
      </c>
      <c r="F20" s="35">
        <v>0.60260000000000002</v>
      </c>
      <c r="G20" s="35">
        <v>30.114000000000001</v>
      </c>
      <c r="H20" s="10">
        <v>0</v>
      </c>
      <c r="I20" s="34">
        <v>0.5</v>
      </c>
      <c r="J20" s="34">
        <v>3729</v>
      </c>
      <c r="K20" s="35">
        <v>1.0200000000000001E-2</v>
      </c>
      <c r="L20" s="35">
        <v>0.56200000000000006</v>
      </c>
      <c r="M20" s="9">
        <v>2</v>
      </c>
      <c r="N20" s="34">
        <v>3360</v>
      </c>
      <c r="O20" s="35">
        <v>2.2700000000000001E-2</v>
      </c>
      <c r="P20" s="35">
        <v>0.63500000000000001</v>
      </c>
      <c r="Q20" s="25">
        <v>0</v>
      </c>
      <c r="R20" s="25">
        <v>40</v>
      </c>
      <c r="S20" s="27" t="str">
        <f t="shared" si="0"/>
        <v xml:space="preserve">'1-6-2017' : </v>
      </c>
      <c r="T20" s="43" t="s">
        <v>58</v>
      </c>
      <c r="U20" s="43" t="s">
        <v>64</v>
      </c>
      <c r="V20" s="11" t="str">
        <f t="shared" si="1"/>
        <v>'1-6-2017' : {'alfa' : '0.854', 'max_qc' : '50', 'scale_fact_qc' : '1266', 'res_qc' : '0.6026', 'temp_eff_qc' : '30.114', 'beta' : '0', 'max_fs' : '0.5', 'scale_fact_qc' : '3729', 'res_fs' : '0.0102', 'temp_eff_fs' : '0.562', 'max_u2' : '2', 'scale_fact_u2' : '3360', 'res_u2' : '0.0227', 'temp_eff_u2' : '0.635', 'temp_scale_min' : '0', 'temp_scale_max' : '40', }</v>
      </c>
      <c r="W20" s="11" t="s">
        <v>83</v>
      </c>
    </row>
    <row r="21" spans="1:23" s="11" customFormat="1" ht="14.25" x14ac:dyDescent="0.2">
      <c r="A21" s="12">
        <v>4458</v>
      </c>
      <c r="B21" s="40">
        <v>43787</v>
      </c>
      <c r="C21" s="10">
        <v>0.86</v>
      </c>
      <c r="D21" s="34">
        <v>50</v>
      </c>
      <c r="E21" s="34">
        <v>1270</v>
      </c>
      <c r="F21" s="35">
        <v>0.60070000000000001</v>
      </c>
      <c r="G21" s="35">
        <v>23.414999999999999</v>
      </c>
      <c r="H21" s="10">
        <v>0</v>
      </c>
      <c r="I21" s="34">
        <v>0.5</v>
      </c>
      <c r="J21" s="34">
        <v>3731</v>
      </c>
      <c r="K21" s="35">
        <v>1.0200000000000001E-2</v>
      </c>
      <c r="L21" s="35">
        <v>0.44900000000000001</v>
      </c>
      <c r="M21" s="9">
        <v>2</v>
      </c>
      <c r="N21" s="34">
        <v>3364</v>
      </c>
      <c r="O21" s="35">
        <v>2.2700000000000001E-2</v>
      </c>
      <c r="P21" s="35">
        <v>0.45300000000000001</v>
      </c>
      <c r="Q21" s="25">
        <v>0</v>
      </c>
      <c r="R21" s="25">
        <v>40</v>
      </c>
      <c r="S21" s="27" t="str">
        <f t="shared" si="0"/>
        <v xml:space="preserve">'18-11-2019' : </v>
      </c>
      <c r="T21" s="43" t="s">
        <v>59</v>
      </c>
      <c r="U21" s="43" t="s">
        <v>64</v>
      </c>
      <c r="V21" s="11" t="str">
        <f t="shared" si="1"/>
        <v>'18-11-2019' : {'alfa' : '0.86', 'max_qc' : '50', 'scale_fact_qc' : '1270', 'res_qc' : '0.6007', 'temp_eff_qc' : '23.415', 'beta' : '0', 'max_fs' : '0.5', 'scale_fact_qc' : '3731', 'res_fs' : '0.0102', 'temp_eff_fs' : '0.449', 'max_u2' : '2', 'scale_fact_u2' : '3364', 'res_u2' : '0.0227', 'temp_eff_u2' : '0.453', 'temp_scale_min' : '0', 'temp_scale_max' : '40', }</v>
      </c>
      <c r="W21" s="11" t="s">
        <v>84</v>
      </c>
    </row>
    <row r="22" spans="1:23" s="11" customFormat="1" ht="14.25" x14ac:dyDescent="0.2">
      <c r="A22" s="12">
        <v>4458</v>
      </c>
      <c r="B22" s="40">
        <v>44166</v>
      </c>
      <c r="C22" s="10">
        <v>0.85699999999999998</v>
      </c>
      <c r="D22" s="34">
        <v>50</v>
      </c>
      <c r="E22" s="34">
        <v>1266</v>
      </c>
      <c r="F22" s="35">
        <v>0.60260000000000002</v>
      </c>
      <c r="G22" s="35">
        <v>7.2270000000000003</v>
      </c>
      <c r="H22" s="10">
        <v>0</v>
      </c>
      <c r="I22" s="34">
        <v>0.5</v>
      </c>
      <c r="J22" s="34">
        <v>3725</v>
      </c>
      <c r="K22" s="35">
        <v>1.0200000000000001E-2</v>
      </c>
      <c r="L22" s="35">
        <v>0.112</v>
      </c>
      <c r="M22" s="9">
        <v>2</v>
      </c>
      <c r="N22" s="34">
        <v>3376</v>
      </c>
      <c r="O22" s="35">
        <v>2.2599999999999999E-2</v>
      </c>
      <c r="P22" s="35">
        <v>0.38400000000000001</v>
      </c>
      <c r="Q22" s="25">
        <v>5</v>
      </c>
      <c r="R22" s="25">
        <v>40</v>
      </c>
      <c r="S22" s="27" t="str">
        <f t="shared" si="0"/>
        <v xml:space="preserve">'1-12-2020' : </v>
      </c>
      <c r="T22" s="43" t="s">
        <v>60</v>
      </c>
      <c r="U22" s="43" t="s">
        <v>64</v>
      </c>
      <c r="V22" s="11" t="str">
        <f t="shared" si="1"/>
        <v>'1-12-2020' : {'alfa' : '0.857', 'max_qc' : '50', 'scale_fact_qc' : '1266', 'res_qc' : '0.6026', 'temp_eff_qc' : '7.227', 'beta' : '0', 'max_fs' : '0.5', 'scale_fact_qc' : '3725', 'res_fs' : '0.0102', 'temp_eff_fs' : '0.112', 'max_u2' : '2', 'scale_fact_u2' : '3376', 'res_u2' : '0.0226', 'temp_eff_u2' : '0.384', 'temp_scale_min' : '5', 'temp_scale_max' : '40', }</v>
      </c>
      <c r="W22" s="11" t="s">
        <v>85</v>
      </c>
    </row>
    <row r="23" spans="1:23" s="11" customFormat="1" ht="14.25" x14ac:dyDescent="0.2">
      <c r="A23" s="12">
        <v>4458</v>
      </c>
      <c r="B23" s="40">
        <v>44559</v>
      </c>
      <c r="C23" s="10">
        <v>0.86499999999999999</v>
      </c>
      <c r="D23" s="34">
        <v>50</v>
      </c>
      <c r="E23" s="34">
        <v>1267</v>
      </c>
      <c r="F23" s="35">
        <v>0.60219999999999996</v>
      </c>
      <c r="G23" s="35">
        <v>16.850000000000001</v>
      </c>
      <c r="H23" s="10">
        <v>0</v>
      </c>
      <c r="I23" s="34">
        <v>0.5</v>
      </c>
      <c r="J23" s="34">
        <v>3732</v>
      </c>
      <c r="K23" s="35">
        <v>1.0200000000000001E-2</v>
      </c>
      <c r="L23" s="35">
        <v>0.38800000000000001</v>
      </c>
      <c r="M23" s="9">
        <v>2</v>
      </c>
      <c r="N23" s="34">
        <v>3381</v>
      </c>
      <c r="O23" s="35">
        <v>2.2599999999999999E-2</v>
      </c>
      <c r="P23" s="35">
        <v>0.69899999999999995</v>
      </c>
      <c r="Q23" s="25">
        <v>0</v>
      </c>
      <c r="R23" s="25">
        <v>40</v>
      </c>
      <c r="S23" s="27" t="str">
        <f t="shared" si="0"/>
        <v xml:space="preserve">'29-12-2021' : </v>
      </c>
      <c r="T23" s="43" t="s">
        <v>61</v>
      </c>
      <c r="U23" s="43" t="s">
        <v>64</v>
      </c>
      <c r="V23" s="11" t="str">
        <f t="shared" si="1"/>
        <v>'29-12-2021' : {'alfa' : '0.865', 'max_qc' : '50', 'scale_fact_qc' : '1267', 'res_qc' : '0.6022', 'temp_eff_qc' : '16.85', 'beta' : '0', 'max_fs' : '0.5', 'scale_fact_qc' : '3732', 'res_fs' : '0.0102', 'temp_eff_fs' : '0.388', 'max_u2' : '2', 'scale_fact_u2' : '3381', 'res_u2' : '0.0226', 'temp_eff_u2' : '0.699', 'temp_scale_min' : '0', 'temp_scale_max' : '40', }</v>
      </c>
      <c r="W23" s="11" t="s">
        <v>86</v>
      </c>
    </row>
    <row r="24" spans="1:23" s="11" customFormat="1" ht="14.25" x14ac:dyDescent="0.2">
      <c r="A24" s="12">
        <v>4458</v>
      </c>
      <c r="B24" s="40">
        <v>44890</v>
      </c>
      <c r="C24" s="10">
        <v>0.85599999999999998</v>
      </c>
      <c r="D24" s="34">
        <v>50</v>
      </c>
      <c r="E24" s="34">
        <v>1272</v>
      </c>
      <c r="F24" s="35">
        <v>0.5998</v>
      </c>
      <c r="G24" s="35">
        <v>14.986000000000001</v>
      </c>
      <c r="H24" s="10">
        <v>0</v>
      </c>
      <c r="I24" s="34">
        <v>0.5</v>
      </c>
      <c r="J24" s="34">
        <v>3793</v>
      </c>
      <c r="K24" s="35">
        <v>1.01E-2</v>
      </c>
      <c r="L24" s="35">
        <v>0.32100000000000001</v>
      </c>
      <c r="M24" s="9">
        <v>2</v>
      </c>
      <c r="N24" s="34">
        <v>3654</v>
      </c>
      <c r="O24" s="35">
        <v>2.0899999999999998E-2</v>
      </c>
      <c r="P24" s="35">
        <v>1.377</v>
      </c>
      <c r="Q24" s="25">
        <v>0</v>
      </c>
      <c r="R24" s="25">
        <v>40</v>
      </c>
      <c r="S24" s="27" t="str">
        <f t="shared" si="0"/>
        <v xml:space="preserve">'25-11-2022' : </v>
      </c>
      <c r="T24" s="43" t="s">
        <v>62</v>
      </c>
      <c r="U24" s="43" t="s">
        <v>64</v>
      </c>
      <c r="V24" s="11" t="str">
        <f t="shared" si="1"/>
        <v>'25-11-2022' : {'alfa' : '0.856', 'max_qc' : '50', 'scale_fact_qc' : '1272', 'res_qc' : '0.5998', 'temp_eff_qc' : '14.986', 'beta' : '0', 'max_fs' : '0.5', 'scale_fact_qc' : '3793', 'res_fs' : '0.0101', 'temp_eff_fs' : '0.321', 'max_u2' : '2', 'scale_fact_u2' : '3654', 'res_u2' : '0.0209', 'temp_eff_u2' : '1.377', 'temp_scale_min' : '0', 'temp_scale_max' : '40', }</v>
      </c>
      <c r="W24" s="11" t="s">
        <v>87</v>
      </c>
    </row>
    <row r="25" spans="1:23" s="11" customFormat="1" ht="14.25" x14ac:dyDescent="0.2">
      <c r="A25" s="12">
        <v>4458</v>
      </c>
      <c r="B25" s="40">
        <v>44559</v>
      </c>
      <c r="C25" s="10">
        <v>0.86499999999999999</v>
      </c>
      <c r="D25" s="34">
        <v>50</v>
      </c>
      <c r="E25" s="34">
        <v>1267</v>
      </c>
      <c r="F25" s="35">
        <v>0.60219999999999996</v>
      </c>
      <c r="G25" s="35">
        <v>16.850000000000001</v>
      </c>
      <c r="H25" s="10">
        <v>0</v>
      </c>
      <c r="I25" s="34">
        <v>0.5</v>
      </c>
      <c r="J25" s="34">
        <v>3732</v>
      </c>
      <c r="K25" s="35">
        <v>1.0200000000000001E-2</v>
      </c>
      <c r="L25" s="35">
        <v>0.38800000000000001</v>
      </c>
      <c r="M25" s="9">
        <v>2</v>
      </c>
      <c r="N25" s="34">
        <v>3381</v>
      </c>
      <c r="O25" s="35">
        <v>2.2599999999999999E-2</v>
      </c>
      <c r="P25" s="35">
        <v>0.69899999999999995</v>
      </c>
      <c r="Q25" s="25">
        <v>5</v>
      </c>
      <c r="R25" s="25">
        <v>40</v>
      </c>
      <c r="S25" s="27" t="str">
        <f t="shared" si="0"/>
        <v xml:space="preserve">'29-12-2021' : </v>
      </c>
      <c r="T25" s="43" t="s">
        <v>63</v>
      </c>
      <c r="U25" s="43" t="s">
        <v>64</v>
      </c>
      <c r="V25" s="11" t="str">
        <f t="shared" si="1"/>
        <v>'29-12-2021' : {'alfa' : '0.865', 'max_qc' : '50', 'scale_fact_qc' : '1267', 'res_qc' : '0.6022', 'temp_eff_qc' : '16.85', 'beta' : '0', 'max_fs' : '0.5', 'scale_fact_qc' : '3732', 'res_fs' : '0.0102', 'temp_eff_fs' : '0.388', 'max_u2' : '2', 'scale_fact_u2' : '3381', 'res_u2' : '0.0226', 'temp_eff_u2' : '0.699', 'temp_scale_min' : '5', 'temp_scale_max' : '40', }</v>
      </c>
      <c r="W25" s="11" t="s">
        <v>88</v>
      </c>
    </row>
    <row r="26" spans="1:23" ht="14.25" x14ac:dyDescent="0.2">
      <c r="A26" s="6"/>
      <c r="B26" s="42"/>
      <c r="C26" s="7"/>
      <c r="D26" s="36"/>
      <c r="E26" s="36"/>
      <c r="F26" s="37"/>
      <c r="G26" s="37"/>
      <c r="H26" s="7"/>
      <c r="I26" s="36"/>
      <c r="J26" s="36"/>
      <c r="K26" s="37"/>
      <c r="L26" s="37"/>
      <c r="M26" s="6"/>
      <c r="N26" s="36"/>
      <c r="O26" s="37"/>
      <c r="P26" s="37"/>
      <c r="Q26" s="31"/>
      <c r="R26" s="31"/>
    </row>
    <row r="27" spans="1:23" ht="14.25" x14ac:dyDescent="0.2">
      <c r="A27" s="6"/>
      <c r="B27" s="42"/>
      <c r="C27" s="7"/>
      <c r="D27" s="36"/>
      <c r="E27" s="36"/>
      <c r="F27" s="37"/>
      <c r="G27" s="37"/>
      <c r="H27" s="7"/>
      <c r="I27" s="36"/>
      <c r="J27" s="36"/>
      <c r="K27" s="37"/>
      <c r="L27" s="37"/>
      <c r="M27" s="6"/>
      <c r="N27" s="36"/>
      <c r="O27" s="37"/>
      <c r="P27" s="37"/>
      <c r="Q27" s="31"/>
      <c r="R27" s="31"/>
    </row>
    <row r="28" spans="1:23" ht="14.25" x14ac:dyDescent="0.2">
      <c r="A28" s="6"/>
      <c r="B28" s="42"/>
      <c r="C28" s="7"/>
      <c r="D28" s="36"/>
      <c r="E28" s="36"/>
      <c r="F28" s="37"/>
      <c r="G28" s="37"/>
      <c r="H28" s="7"/>
      <c r="I28" s="36"/>
      <c r="J28" s="36"/>
      <c r="K28" s="37"/>
      <c r="L28" s="37"/>
      <c r="M28" s="6"/>
      <c r="N28" s="36"/>
      <c r="O28" s="37"/>
      <c r="P28" s="37"/>
      <c r="Q28" s="31"/>
      <c r="R28" s="31"/>
    </row>
    <row r="29" spans="1:23" ht="14.25" x14ac:dyDescent="0.2">
      <c r="A29" s="6"/>
      <c r="B29" s="42"/>
      <c r="C29" s="7"/>
      <c r="D29" s="36"/>
      <c r="E29" s="36"/>
      <c r="F29" s="37"/>
      <c r="G29" s="37"/>
      <c r="H29" s="7"/>
      <c r="I29" s="36"/>
      <c r="J29" s="36"/>
      <c r="K29" s="37"/>
      <c r="L29" s="37"/>
      <c r="M29" s="6"/>
      <c r="N29" s="36"/>
      <c r="O29" s="37"/>
      <c r="P29" s="37"/>
      <c r="Q29" s="31"/>
      <c r="R29" s="31"/>
    </row>
    <row r="30" spans="1:23" ht="14.25" x14ac:dyDescent="0.2">
      <c r="A30" s="6"/>
      <c r="B30" s="42"/>
      <c r="C30" s="7"/>
      <c r="D30" s="36"/>
      <c r="E30" s="36"/>
      <c r="F30" s="37"/>
      <c r="G30" s="37"/>
      <c r="H30" s="7"/>
      <c r="I30" s="36"/>
      <c r="J30" s="36"/>
      <c r="K30" s="37"/>
      <c r="L30" s="37"/>
      <c r="M30" s="6"/>
      <c r="N30" s="36"/>
      <c r="O30" s="37"/>
      <c r="P30" s="37"/>
      <c r="Q30" s="31"/>
      <c r="R30" s="31"/>
    </row>
    <row r="31" spans="1:23" ht="14.25" x14ac:dyDescent="0.2">
      <c r="A31" s="6"/>
      <c r="B31" s="42"/>
      <c r="C31" s="7"/>
      <c r="D31" s="36"/>
      <c r="E31" s="36"/>
      <c r="F31" s="37"/>
      <c r="G31" s="37"/>
      <c r="H31" s="7"/>
      <c r="I31" s="36"/>
      <c r="J31" s="36"/>
      <c r="K31" s="37"/>
      <c r="L31" s="37"/>
      <c r="M31" s="6"/>
      <c r="N31" s="36"/>
      <c r="O31" s="37"/>
      <c r="P31" s="37"/>
      <c r="Q31" s="31"/>
      <c r="R31" s="31"/>
    </row>
    <row r="32" spans="1:23" ht="14.25" x14ac:dyDescent="0.2">
      <c r="A32" s="6"/>
      <c r="B32" s="42"/>
      <c r="C32" s="7"/>
      <c r="D32" s="36"/>
      <c r="E32" s="36"/>
      <c r="F32" s="37"/>
      <c r="G32" s="37"/>
      <c r="H32" s="7"/>
      <c r="I32" s="36"/>
      <c r="J32" s="36"/>
      <c r="K32" s="37"/>
      <c r="L32" s="37"/>
      <c r="M32" s="6"/>
      <c r="N32" s="36"/>
      <c r="O32" s="37"/>
      <c r="P32" s="37"/>
      <c r="Q32" s="31"/>
      <c r="R32" s="31"/>
    </row>
    <row r="33" spans="1:18" ht="14.25" x14ac:dyDescent="0.2">
      <c r="A33" s="6"/>
      <c r="B33" s="42"/>
      <c r="C33" s="7"/>
      <c r="D33" s="36"/>
      <c r="E33" s="36"/>
      <c r="F33" s="37"/>
      <c r="G33" s="37"/>
      <c r="H33" s="7"/>
      <c r="I33" s="36"/>
      <c r="J33" s="36"/>
      <c r="K33" s="37"/>
      <c r="L33" s="37"/>
      <c r="M33" s="6"/>
      <c r="N33" s="36"/>
      <c r="O33" s="37"/>
      <c r="P33" s="37"/>
      <c r="Q33" s="31"/>
      <c r="R33" s="31"/>
    </row>
    <row r="34" spans="1:18" ht="14.25" x14ac:dyDescent="0.2">
      <c r="A34" s="6"/>
      <c r="B34" s="42"/>
      <c r="C34" s="7"/>
      <c r="D34" s="36"/>
      <c r="E34" s="36"/>
      <c r="F34" s="37"/>
      <c r="G34" s="37"/>
      <c r="H34" s="7"/>
      <c r="I34" s="36"/>
      <c r="J34" s="36"/>
      <c r="K34" s="37"/>
      <c r="L34" s="37"/>
      <c r="M34" s="6"/>
      <c r="N34" s="36"/>
      <c r="O34" s="37"/>
      <c r="P34" s="37"/>
      <c r="Q34" s="31"/>
      <c r="R34" s="31"/>
    </row>
    <row r="35" spans="1:18" ht="14.25" x14ac:dyDescent="0.2">
      <c r="A35" s="6"/>
      <c r="B35" s="42"/>
      <c r="C35" s="7"/>
      <c r="D35" s="36"/>
      <c r="E35" s="36"/>
      <c r="F35" s="37"/>
      <c r="G35" s="37"/>
      <c r="H35" s="7"/>
      <c r="I35" s="36"/>
      <c r="J35" s="36"/>
      <c r="K35" s="37"/>
      <c r="L35" s="37"/>
      <c r="M35" s="6"/>
      <c r="N35" s="36"/>
      <c r="O35" s="37"/>
      <c r="P35" s="37"/>
      <c r="Q35" s="31"/>
      <c r="R35" s="31"/>
    </row>
    <row r="36" spans="1:18" ht="14.25" x14ac:dyDescent="0.2">
      <c r="A36" s="6"/>
      <c r="B36" s="42"/>
      <c r="C36" s="7"/>
      <c r="D36" s="36"/>
      <c r="E36" s="36"/>
      <c r="F36" s="37"/>
      <c r="G36" s="37"/>
      <c r="H36" s="7"/>
      <c r="I36" s="36"/>
      <c r="J36" s="36"/>
      <c r="K36" s="37"/>
      <c r="L36" s="37"/>
      <c r="M36" s="6"/>
      <c r="N36" s="36"/>
      <c r="O36" s="37"/>
      <c r="P36" s="37"/>
      <c r="Q36" s="31"/>
      <c r="R36" s="31"/>
    </row>
    <row r="37" spans="1:18" ht="14.25" x14ac:dyDescent="0.2">
      <c r="A37" s="6"/>
      <c r="B37" s="42"/>
      <c r="C37" s="7"/>
      <c r="D37" s="36"/>
      <c r="E37" s="36"/>
      <c r="F37" s="37"/>
      <c r="G37" s="37"/>
      <c r="H37" s="7"/>
      <c r="I37" s="36"/>
      <c r="J37" s="36"/>
      <c r="K37" s="37"/>
      <c r="L37" s="37"/>
      <c r="M37" s="6"/>
      <c r="N37" s="36"/>
      <c r="O37" s="37"/>
      <c r="P37" s="37"/>
      <c r="Q37" s="31"/>
      <c r="R37" s="31"/>
    </row>
    <row r="38" spans="1:18" ht="14.25" x14ac:dyDescent="0.2">
      <c r="A38" s="6"/>
      <c r="B38" s="42"/>
      <c r="C38" s="7"/>
      <c r="D38" s="36"/>
      <c r="E38" s="36"/>
      <c r="F38" s="37"/>
      <c r="G38" s="37"/>
      <c r="H38" s="7"/>
      <c r="I38" s="36"/>
      <c r="J38" s="36"/>
      <c r="K38" s="37"/>
      <c r="L38" s="37"/>
      <c r="M38" s="6"/>
      <c r="N38" s="36"/>
      <c r="O38" s="37"/>
      <c r="P38" s="37"/>
      <c r="Q38" s="31"/>
      <c r="R38" s="31"/>
    </row>
    <row r="39" spans="1:18" ht="14.25" x14ac:dyDescent="0.2">
      <c r="A39" s="6"/>
      <c r="B39" s="42"/>
      <c r="C39" s="7"/>
      <c r="D39" s="36"/>
      <c r="E39" s="36"/>
      <c r="F39" s="37"/>
      <c r="G39" s="37"/>
      <c r="H39" s="7"/>
      <c r="I39" s="36"/>
      <c r="J39" s="36"/>
      <c r="K39" s="37"/>
      <c r="L39" s="37"/>
      <c r="M39" s="6"/>
      <c r="N39" s="36"/>
      <c r="O39" s="37"/>
      <c r="P39" s="37"/>
      <c r="Q39" s="31"/>
      <c r="R39" s="31"/>
    </row>
    <row r="40" spans="1:18" ht="14.25" x14ac:dyDescent="0.2">
      <c r="A40" s="6"/>
      <c r="B40" s="42"/>
      <c r="C40" s="7"/>
      <c r="D40" s="36"/>
      <c r="E40" s="36"/>
      <c r="F40" s="37"/>
      <c r="G40" s="37"/>
      <c r="H40" s="7"/>
      <c r="I40" s="36"/>
      <c r="J40" s="36"/>
      <c r="K40" s="37"/>
      <c r="L40" s="37"/>
      <c r="M40" s="6"/>
      <c r="N40" s="36"/>
      <c r="O40" s="37"/>
      <c r="P40" s="37"/>
      <c r="Q40" s="31"/>
      <c r="R40" s="31"/>
    </row>
    <row r="41" spans="1:18" ht="14.25" x14ac:dyDescent="0.2">
      <c r="A41" s="6"/>
      <c r="B41" s="42"/>
      <c r="C41" s="7"/>
      <c r="D41" s="36"/>
      <c r="E41" s="36"/>
      <c r="F41" s="37"/>
      <c r="G41" s="37"/>
      <c r="H41" s="7"/>
      <c r="I41" s="36"/>
      <c r="J41" s="36"/>
      <c r="K41" s="37"/>
      <c r="L41" s="37"/>
      <c r="M41" s="6"/>
      <c r="N41" s="36"/>
      <c r="O41" s="37"/>
      <c r="P41" s="37"/>
      <c r="Q41" s="31"/>
      <c r="R41" s="31"/>
    </row>
    <row r="42" spans="1:18" ht="14.25" x14ac:dyDescent="0.2">
      <c r="A42" s="6"/>
      <c r="B42" s="42"/>
      <c r="C42" s="7"/>
      <c r="D42" s="36"/>
      <c r="E42" s="36"/>
      <c r="F42" s="37"/>
      <c r="G42" s="37"/>
      <c r="H42" s="7"/>
      <c r="I42" s="36"/>
      <c r="J42" s="36"/>
      <c r="K42" s="37"/>
      <c r="L42" s="37"/>
      <c r="M42" s="6"/>
      <c r="N42" s="36"/>
      <c r="O42" s="37"/>
      <c r="P42" s="37"/>
      <c r="Q42" s="31"/>
      <c r="R42" s="31"/>
    </row>
    <row r="43" spans="1:18" ht="14.25" x14ac:dyDescent="0.2">
      <c r="A43" s="6"/>
      <c r="B43" s="42"/>
      <c r="C43" s="7"/>
      <c r="D43" s="36"/>
      <c r="E43" s="36"/>
      <c r="F43" s="37"/>
      <c r="G43" s="37"/>
      <c r="H43" s="7"/>
      <c r="I43" s="36"/>
      <c r="J43" s="36"/>
      <c r="K43" s="37"/>
      <c r="L43" s="37"/>
      <c r="M43" s="6"/>
      <c r="N43" s="36"/>
      <c r="O43" s="37"/>
      <c r="P43" s="37"/>
      <c r="Q43" s="31"/>
      <c r="R43" s="31"/>
    </row>
    <row r="44" spans="1:18" ht="14.25" x14ac:dyDescent="0.2">
      <c r="A44" s="6"/>
      <c r="B44" s="42"/>
      <c r="C44" s="7"/>
      <c r="D44" s="36"/>
      <c r="E44" s="36"/>
      <c r="F44" s="37"/>
      <c r="G44" s="37"/>
      <c r="H44" s="7"/>
      <c r="I44" s="36"/>
      <c r="J44" s="36"/>
      <c r="K44" s="37"/>
      <c r="L44" s="37"/>
      <c r="M44" s="6"/>
      <c r="N44" s="36"/>
      <c r="O44" s="37"/>
      <c r="P44" s="37"/>
      <c r="Q44" s="31"/>
      <c r="R44" s="31"/>
    </row>
    <row r="45" spans="1:18" ht="14.25" x14ac:dyDescent="0.2">
      <c r="A45" s="6"/>
      <c r="B45" s="42"/>
      <c r="C45" s="7"/>
      <c r="D45" s="36"/>
      <c r="E45" s="36"/>
      <c r="F45" s="37"/>
      <c r="G45" s="37"/>
      <c r="H45" s="7"/>
      <c r="I45" s="36"/>
      <c r="J45" s="36"/>
      <c r="K45" s="37"/>
      <c r="L45" s="37"/>
      <c r="M45" s="6"/>
      <c r="N45" s="36"/>
      <c r="O45" s="37"/>
      <c r="P45" s="37"/>
      <c r="Q45" s="31"/>
      <c r="R45" s="31"/>
    </row>
    <row r="46" spans="1:18" ht="14.25" x14ac:dyDescent="0.2">
      <c r="A46" s="6"/>
      <c r="B46" s="42"/>
      <c r="C46" s="7"/>
      <c r="D46" s="36"/>
      <c r="E46" s="36"/>
      <c r="F46" s="37"/>
      <c r="G46" s="37"/>
      <c r="H46" s="7"/>
      <c r="I46" s="36"/>
      <c r="J46" s="36"/>
      <c r="K46" s="37"/>
      <c r="L46" s="37"/>
      <c r="M46" s="6"/>
      <c r="N46" s="36"/>
      <c r="O46" s="37"/>
      <c r="P46" s="37"/>
      <c r="Q46" s="31"/>
      <c r="R46" s="31"/>
    </row>
    <row r="47" spans="1:18" ht="14.25" x14ac:dyDescent="0.2">
      <c r="A47" s="6"/>
      <c r="B47" s="42"/>
      <c r="C47" s="7"/>
      <c r="D47" s="36"/>
      <c r="E47" s="36"/>
      <c r="F47" s="37"/>
      <c r="G47" s="37"/>
      <c r="H47" s="7"/>
      <c r="I47" s="36"/>
      <c r="J47" s="36"/>
      <c r="K47" s="37"/>
      <c r="L47" s="37"/>
      <c r="M47" s="6"/>
      <c r="N47" s="36"/>
      <c r="O47" s="37"/>
      <c r="P47" s="37"/>
      <c r="Q47" s="31"/>
      <c r="R47" s="31"/>
    </row>
    <row r="48" spans="1:18" ht="14.25" x14ac:dyDescent="0.2">
      <c r="A48" s="6"/>
      <c r="B48" s="42"/>
      <c r="C48" s="7"/>
      <c r="D48" s="36"/>
      <c r="E48" s="36"/>
      <c r="F48" s="37"/>
      <c r="G48" s="37"/>
      <c r="H48" s="7"/>
      <c r="I48" s="36"/>
      <c r="J48" s="36"/>
      <c r="K48" s="37"/>
      <c r="L48" s="37"/>
      <c r="M48" s="6"/>
      <c r="N48" s="36"/>
      <c r="O48" s="37"/>
      <c r="P48" s="37"/>
      <c r="Q48" s="31"/>
      <c r="R48" s="31"/>
    </row>
    <row r="49" spans="1:18" ht="14.25" x14ac:dyDescent="0.2">
      <c r="A49" s="6"/>
      <c r="B49" s="42"/>
      <c r="C49" s="7"/>
      <c r="D49" s="36"/>
      <c r="E49" s="36"/>
      <c r="F49" s="37"/>
      <c r="G49" s="37"/>
      <c r="H49" s="7"/>
      <c r="I49" s="36"/>
      <c r="J49" s="36"/>
      <c r="K49" s="37"/>
      <c r="L49" s="37"/>
      <c r="M49" s="6"/>
      <c r="N49" s="36"/>
      <c r="O49" s="37"/>
      <c r="P49" s="37"/>
      <c r="Q49" s="31"/>
      <c r="R49" s="31"/>
    </row>
    <row r="50" spans="1:18" ht="14.25" x14ac:dyDescent="0.2">
      <c r="A50" s="6"/>
      <c r="B50" s="42"/>
      <c r="C50" s="7"/>
      <c r="D50" s="36"/>
      <c r="E50" s="36"/>
      <c r="F50" s="37"/>
      <c r="G50" s="37"/>
      <c r="H50" s="7"/>
      <c r="I50" s="36"/>
      <c r="J50" s="36"/>
      <c r="K50" s="37"/>
      <c r="L50" s="37"/>
      <c r="M50" s="6"/>
      <c r="N50" s="36"/>
      <c r="O50" s="37"/>
      <c r="P50" s="37"/>
      <c r="Q50" s="31"/>
      <c r="R50" s="31"/>
    </row>
    <row r="51" spans="1:18" ht="14.25" x14ac:dyDescent="0.2">
      <c r="A51" s="6"/>
      <c r="B51" s="42"/>
      <c r="C51" s="7"/>
      <c r="D51" s="36"/>
      <c r="E51" s="36"/>
      <c r="F51" s="37"/>
      <c r="G51" s="37"/>
      <c r="H51" s="7"/>
      <c r="I51" s="36"/>
      <c r="J51" s="36"/>
      <c r="K51" s="37"/>
      <c r="L51" s="37"/>
      <c r="M51" s="6"/>
      <c r="N51" s="36"/>
      <c r="O51" s="37"/>
      <c r="P51" s="37"/>
      <c r="Q51" s="31"/>
      <c r="R51" s="31"/>
    </row>
    <row r="52" spans="1:18" ht="14.25" x14ac:dyDescent="0.2">
      <c r="A52" s="6"/>
      <c r="B52" s="42"/>
      <c r="C52" s="7"/>
      <c r="D52" s="36"/>
      <c r="E52" s="36"/>
      <c r="F52" s="37"/>
      <c r="G52" s="37"/>
      <c r="H52" s="7"/>
      <c r="I52" s="36"/>
      <c r="J52" s="36"/>
      <c r="K52" s="37"/>
      <c r="L52" s="37"/>
      <c r="M52" s="6"/>
      <c r="N52" s="36"/>
      <c r="O52" s="37"/>
      <c r="P52" s="37"/>
      <c r="Q52" s="31"/>
      <c r="R52" s="31"/>
    </row>
    <row r="53" spans="1:18" ht="14.25" x14ac:dyDescent="0.2">
      <c r="A53" s="6"/>
      <c r="B53" s="42"/>
      <c r="C53" s="7"/>
      <c r="D53" s="36"/>
      <c r="E53" s="36"/>
      <c r="F53" s="37"/>
      <c r="G53" s="37"/>
      <c r="H53" s="7"/>
      <c r="I53" s="36"/>
      <c r="J53" s="36"/>
      <c r="K53" s="37"/>
      <c r="L53" s="37"/>
      <c r="M53" s="6"/>
      <c r="N53" s="36"/>
      <c r="O53" s="37"/>
      <c r="P53" s="37"/>
      <c r="Q53" s="31"/>
      <c r="R53" s="31"/>
    </row>
    <row r="54" spans="1:18" ht="14.25" x14ac:dyDescent="0.2">
      <c r="A54" s="6"/>
      <c r="B54" s="42"/>
      <c r="C54" s="7"/>
      <c r="D54" s="36"/>
      <c r="E54" s="36"/>
      <c r="F54" s="37"/>
      <c r="G54" s="37"/>
      <c r="H54" s="7"/>
      <c r="I54" s="36"/>
      <c r="J54" s="36"/>
      <c r="K54" s="37"/>
      <c r="L54" s="37"/>
      <c r="M54" s="6"/>
      <c r="N54" s="36"/>
      <c r="O54" s="37"/>
      <c r="P54" s="37"/>
      <c r="Q54" s="31"/>
      <c r="R54" s="31"/>
    </row>
    <row r="55" spans="1:18" ht="14.25" x14ac:dyDescent="0.2">
      <c r="A55" s="6"/>
      <c r="B55" s="42"/>
      <c r="C55" s="7"/>
      <c r="D55" s="36"/>
      <c r="E55" s="36"/>
      <c r="F55" s="37"/>
      <c r="G55" s="37"/>
      <c r="H55" s="7"/>
      <c r="I55" s="36"/>
      <c r="J55" s="36"/>
      <c r="K55" s="37"/>
      <c r="L55" s="37"/>
      <c r="M55" s="6"/>
      <c r="N55" s="36"/>
      <c r="O55" s="37"/>
      <c r="P55" s="37"/>
      <c r="Q55" s="31"/>
      <c r="R55" s="31"/>
    </row>
    <row r="56" spans="1:18" ht="14.25" x14ac:dyDescent="0.2">
      <c r="A56" s="6"/>
      <c r="B56" s="42"/>
      <c r="C56" s="7"/>
      <c r="D56" s="36"/>
      <c r="E56" s="36"/>
      <c r="F56" s="37"/>
      <c r="G56" s="37"/>
      <c r="H56" s="7"/>
      <c r="I56" s="36"/>
      <c r="J56" s="36"/>
      <c r="K56" s="37"/>
      <c r="L56" s="37"/>
      <c r="M56" s="6"/>
      <c r="N56" s="36"/>
      <c r="O56" s="37"/>
      <c r="P56" s="37"/>
      <c r="Q56" s="31"/>
      <c r="R56" s="31"/>
    </row>
    <row r="57" spans="1:18" ht="14.25" x14ac:dyDescent="0.2">
      <c r="A57" s="6"/>
      <c r="B57" s="42"/>
      <c r="C57" s="7"/>
      <c r="D57" s="36"/>
      <c r="E57" s="36"/>
      <c r="F57" s="37"/>
      <c r="G57" s="37"/>
      <c r="H57" s="7"/>
      <c r="I57" s="36"/>
      <c r="J57" s="36"/>
      <c r="K57" s="37"/>
      <c r="L57" s="37"/>
      <c r="M57" s="6"/>
      <c r="N57" s="36"/>
      <c r="O57" s="37"/>
      <c r="P57" s="37"/>
      <c r="Q57" s="31"/>
      <c r="R57" s="31"/>
    </row>
    <row r="58" spans="1:18" ht="14.25" x14ac:dyDescent="0.2">
      <c r="A58" s="6"/>
      <c r="B58" s="42"/>
      <c r="C58" s="7"/>
      <c r="D58" s="36"/>
      <c r="E58" s="36"/>
      <c r="F58" s="37"/>
      <c r="G58" s="37"/>
      <c r="H58" s="7"/>
      <c r="I58" s="36"/>
      <c r="J58" s="36"/>
      <c r="K58" s="37"/>
      <c r="L58" s="37"/>
      <c r="M58" s="6"/>
      <c r="N58" s="36"/>
      <c r="O58" s="37"/>
      <c r="P58" s="37"/>
      <c r="Q58" s="31"/>
      <c r="R58" s="31"/>
    </row>
    <row r="59" spans="1:18" ht="14.25" x14ac:dyDescent="0.2">
      <c r="A59" s="6"/>
      <c r="B59" s="42"/>
      <c r="C59" s="7"/>
      <c r="D59" s="36"/>
      <c r="E59" s="36"/>
      <c r="F59" s="37"/>
      <c r="G59" s="37"/>
      <c r="H59" s="7"/>
      <c r="I59" s="36"/>
      <c r="J59" s="36"/>
      <c r="K59" s="37"/>
      <c r="L59" s="37"/>
      <c r="M59" s="6"/>
      <c r="N59" s="36"/>
      <c r="O59" s="37"/>
      <c r="P59" s="37"/>
      <c r="Q59" s="31"/>
      <c r="R59" s="31"/>
    </row>
    <row r="60" spans="1:18" ht="14.25" x14ac:dyDescent="0.2">
      <c r="A60" s="6"/>
      <c r="B60" s="42"/>
      <c r="C60" s="7"/>
      <c r="D60" s="36"/>
      <c r="E60" s="36"/>
      <c r="F60" s="37"/>
      <c r="G60" s="37"/>
      <c r="H60" s="7"/>
      <c r="I60" s="36"/>
      <c r="J60" s="36"/>
      <c r="K60" s="37"/>
      <c r="L60" s="37"/>
      <c r="M60" s="6"/>
      <c r="N60" s="36"/>
      <c r="O60" s="37"/>
      <c r="P60" s="37"/>
      <c r="Q60" s="31"/>
      <c r="R60" s="31"/>
    </row>
    <row r="61" spans="1:18" ht="14.25" x14ac:dyDescent="0.2">
      <c r="A61" s="6"/>
      <c r="B61" s="42"/>
      <c r="C61" s="7"/>
      <c r="D61" s="36"/>
      <c r="E61" s="36"/>
      <c r="F61" s="37"/>
      <c r="G61" s="37"/>
      <c r="H61" s="7"/>
      <c r="I61" s="36"/>
      <c r="J61" s="36"/>
      <c r="K61" s="37"/>
      <c r="L61" s="37"/>
      <c r="M61" s="6"/>
      <c r="N61" s="36"/>
      <c r="O61" s="37"/>
      <c r="P61" s="37"/>
      <c r="Q61" s="31"/>
      <c r="R61" s="31"/>
    </row>
    <row r="62" spans="1:18" ht="14.25" x14ac:dyDescent="0.2">
      <c r="A62" s="6"/>
      <c r="B62" s="42"/>
      <c r="C62" s="7"/>
      <c r="D62" s="36"/>
      <c r="E62" s="36"/>
      <c r="F62" s="37"/>
      <c r="G62" s="37"/>
      <c r="H62" s="7"/>
      <c r="I62" s="36"/>
      <c r="J62" s="36"/>
      <c r="K62" s="37"/>
      <c r="L62" s="37"/>
      <c r="M62" s="6"/>
      <c r="N62" s="36"/>
      <c r="O62" s="37"/>
      <c r="P62" s="37"/>
      <c r="Q62" s="31"/>
      <c r="R62" s="31"/>
    </row>
    <row r="63" spans="1:18" ht="14.25" x14ac:dyDescent="0.2">
      <c r="A63" s="6"/>
      <c r="B63" s="42"/>
      <c r="C63" s="7"/>
      <c r="D63" s="36"/>
      <c r="E63" s="36"/>
      <c r="F63" s="37"/>
      <c r="G63" s="37"/>
      <c r="H63" s="7"/>
      <c r="I63" s="36"/>
      <c r="J63" s="36"/>
      <c r="K63" s="37"/>
      <c r="L63" s="37"/>
      <c r="M63" s="6"/>
      <c r="N63" s="36"/>
      <c r="O63" s="37"/>
      <c r="P63" s="37"/>
      <c r="Q63" s="31"/>
      <c r="R63" s="31"/>
    </row>
    <row r="64" spans="1:18" ht="14.25" x14ac:dyDescent="0.2">
      <c r="A64" s="6"/>
      <c r="B64" s="42"/>
      <c r="C64" s="7"/>
      <c r="D64" s="36"/>
      <c r="E64" s="36"/>
      <c r="F64" s="37"/>
      <c r="G64" s="37"/>
      <c r="H64" s="7"/>
      <c r="I64" s="36"/>
      <c r="J64" s="36"/>
      <c r="K64" s="37"/>
      <c r="L64" s="37"/>
      <c r="M64" s="6"/>
      <c r="N64" s="36"/>
      <c r="O64" s="37"/>
      <c r="P64" s="37"/>
      <c r="Q64" s="31"/>
      <c r="R64" s="31"/>
    </row>
    <row r="65" spans="1:18" ht="14.25" x14ac:dyDescent="0.2">
      <c r="A65" s="6"/>
      <c r="B65" s="42"/>
      <c r="C65" s="7"/>
      <c r="D65" s="36"/>
      <c r="E65" s="36"/>
      <c r="F65" s="37"/>
      <c r="G65" s="37"/>
      <c r="H65" s="7"/>
      <c r="I65" s="36"/>
      <c r="J65" s="36"/>
      <c r="K65" s="37"/>
      <c r="L65" s="37"/>
      <c r="M65" s="6"/>
      <c r="N65" s="36"/>
      <c r="O65" s="37"/>
      <c r="P65" s="37"/>
      <c r="Q65" s="31"/>
      <c r="R65" s="31"/>
    </row>
    <row r="66" spans="1:18" ht="14.25" x14ac:dyDescent="0.2">
      <c r="A66" s="6"/>
      <c r="B66" s="42"/>
      <c r="C66" s="7"/>
      <c r="D66" s="36"/>
      <c r="E66" s="36"/>
      <c r="F66" s="37"/>
      <c r="G66" s="37"/>
      <c r="H66" s="7"/>
      <c r="I66" s="36"/>
      <c r="J66" s="36"/>
      <c r="K66" s="37"/>
      <c r="L66" s="37"/>
      <c r="M66" s="6"/>
      <c r="N66" s="36"/>
      <c r="O66" s="37"/>
      <c r="P66" s="37"/>
      <c r="Q66" s="31"/>
      <c r="R66" s="31"/>
    </row>
    <row r="67" spans="1:18" ht="14.25" x14ac:dyDescent="0.2">
      <c r="A67" s="6"/>
      <c r="B67" s="42"/>
      <c r="C67" s="7"/>
      <c r="D67" s="36"/>
      <c r="E67" s="36"/>
      <c r="F67" s="37"/>
      <c r="G67" s="37"/>
      <c r="H67" s="7"/>
      <c r="I67" s="36"/>
      <c r="J67" s="36"/>
      <c r="K67" s="37"/>
      <c r="L67" s="37"/>
      <c r="M67" s="6"/>
      <c r="N67" s="36"/>
      <c r="O67" s="37"/>
      <c r="P67" s="37"/>
      <c r="Q67" s="31"/>
      <c r="R67" s="31"/>
    </row>
    <row r="68" spans="1:18" ht="14.25" x14ac:dyDescent="0.2">
      <c r="A68" s="6"/>
      <c r="B68" s="42"/>
      <c r="C68" s="7"/>
      <c r="D68" s="36"/>
      <c r="E68" s="36"/>
      <c r="F68" s="37"/>
      <c r="G68" s="37"/>
      <c r="H68" s="7"/>
      <c r="I68" s="36"/>
      <c r="J68" s="36"/>
      <c r="K68" s="37"/>
      <c r="L68" s="37"/>
      <c r="M68" s="6"/>
      <c r="N68" s="36"/>
      <c r="O68" s="37"/>
      <c r="P68" s="37"/>
      <c r="Q68" s="31"/>
      <c r="R68" s="31"/>
    </row>
    <row r="69" spans="1:18" ht="14.25" x14ac:dyDescent="0.2">
      <c r="A69" s="6"/>
      <c r="B69" s="42"/>
      <c r="C69" s="7"/>
      <c r="D69" s="36"/>
      <c r="E69" s="36"/>
      <c r="F69" s="37"/>
      <c r="G69" s="37"/>
      <c r="H69" s="7"/>
      <c r="I69" s="36"/>
      <c r="J69" s="36"/>
      <c r="K69" s="37"/>
      <c r="L69" s="37"/>
      <c r="M69" s="6"/>
      <c r="N69" s="36"/>
      <c r="O69" s="37"/>
      <c r="P69" s="37"/>
      <c r="Q69" s="31"/>
      <c r="R69" s="31"/>
    </row>
    <row r="70" spans="1:18" ht="14.25" x14ac:dyDescent="0.2">
      <c r="A70" s="6"/>
      <c r="B70" s="42"/>
      <c r="C70" s="7"/>
      <c r="D70" s="36"/>
      <c r="E70" s="36"/>
      <c r="F70" s="37"/>
      <c r="G70" s="37"/>
      <c r="H70" s="7"/>
      <c r="I70" s="36"/>
      <c r="J70" s="36"/>
      <c r="K70" s="37"/>
      <c r="L70" s="37"/>
      <c r="M70" s="6"/>
      <c r="N70" s="36"/>
      <c r="O70" s="37"/>
      <c r="P70" s="37"/>
      <c r="Q70" s="31"/>
      <c r="R70" s="31"/>
    </row>
    <row r="71" spans="1:18" ht="14.25" x14ac:dyDescent="0.2">
      <c r="A71" s="6"/>
      <c r="B71" s="42"/>
      <c r="C71" s="7"/>
      <c r="D71" s="36"/>
      <c r="E71" s="36"/>
      <c r="F71" s="37"/>
      <c r="G71" s="37"/>
      <c r="H71" s="7"/>
      <c r="I71" s="36"/>
      <c r="J71" s="36"/>
      <c r="K71" s="37"/>
      <c r="L71" s="37"/>
      <c r="M71" s="6"/>
      <c r="N71" s="36"/>
      <c r="O71" s="37"/>
      <c r="P71" s="37"/>
      <c r="Q71" s="31"/>
      <c r="R71" s="31"/>
    </row>
    <row r="72" spans="1:18" ht="14.25" x14ac:dyDescent="0.2">
      <c r="A72" s="6"/>
      <c r="B72" s="42"/>
      <c r="C72" s="7"/>
      <c r="D72" s="36"/>
      <c r="E72" s="36"/>
      <c r="F72" s="37"/>
      <c r="G72" s="37"/>
      <c r="H72" s="7"/>
      <c r="I72" s="36"/>
      <c r="J72" s="36"/>
      <c r="K72" s="37"/>
      <c r="L72" s="37"/>
      <c r="M72" s="6"/>
      <c r="N72" s="36"/>
      <c r="O72" s="37"/>
      <c r="P72" s="37"/>
      <c r="Q72" s="31"/>
      <c r="R72" s="31"/>
    </row>
    <row r="73" spans="1:18" ht="14.25" x14ac:dyDescent="0.2">
      <c r="A73" s="6"/>
      <c r="B73" s="42"/>
      <c r="C73" s="7"/>
      <c r="D73" s="36"/>
      <c r="E73" s="36"/>
      <c r="F73" s="37"/>
      <c r="G73" s="37"/>
      <c r="H73" s="7"/>
      <c r="I73" s="36"/>
      <c r="J73" s="36"/>
      <c r="K73" s="37"/>
      <c r="L73" s="37"/>
      <c r="M73" s="6"/>
      <c r="N73" s="36"/>
      <c r="O73" s="37"/>
      <c r="P73" s="37"/>
      <c r="Q73" s="31"/>
      <c r="R73" s="31"/>
    </row>
    <row r="74" spans="1:18" ht="14.25" x14ac:dyDescent="0.2">
      <c r="A74" s="6"/>
      <c r="B74" s="42"/>
      <c r="C74" s="7"/>
      <c r="D74" s="36"/>
      <c r="E74" s="36"/>
      <c r="F74" s="37"/>
      <c r="G74" s="37"/>
      <c r="H74" s="7"/>
      <c r="I74" s="36"/>
      <c r="J74" s="36"/>
      <c r="K74" s="37"/>
      <c r="L74" s="37"/>
      <c r="M74" s="6"/>
      <c r="N74" s="36"/>
      <c r="O74" s="37"/>
      <c r="P74" s="37"/>
      <c r="Q74" s="31"/>
      <c r="R74" s="31"/>
    </row>
    <row r="75" spans="1:18" ht="14.25" x14ac:dyDescent="0.2">
      <c r="A75" s="6"/>
      <c r="B75" s="42"/>
      <c r="C75" s="7"/>
      <c r="D75" s="36"/>
      <c r="E75" s="36"/>
      <c r="F75" s="37"/>
      <c r="G75" s="37"/>
      <c r="H75" s="7"/>
      <c r="I75" s="36"/>
      <c r="J75" s="36"/>
      <c r="K75" s="37"/>
      <c r="L75" s="37"/>
      <c r="M75" s="6"/>
      <c r="N75" s="36"/>
      <c r="O75" s="37"/>
      <c r="P75" s="37"/>
      <c r="Q75" s="31"/>
      <c r="R75" s="31"/>
    </row>
    <row r="76" spans="1:18" ht="14.25" x14ac:dyDescent="0.2">
      <c r="A76" s="6"/>
      <c r="B76" s="42"/>
      <c r="C76" s="7"/>
      <c r="D76" s="36"/>
      <c r="E76" s="36"/>
      <c r="F76" s="37"/>
      <c r="G76" s="37"/>
      <c r="H76" s="7"/>
      <c r="I76" s="36"/>
      <c r="J76" s="36"/>
      <c r="K76" s="37"/>
      <c r="L76" s="37"/>
      <c r="M76" s="6"/>
      <c r="N76" s="36"/>
      <c r="O76" s="37"/>
      <c r="P76" s="37"/>
      <c r="Q76" s="31"/>
      <c r="R76" s="31"/>
    </row>
    <row r="77" spans="1:18" ht="14.25" x14ac:dyDescent="0.2">
      <c r="A77" s="6"/>
      <c r="B77" s="42"/>
      <c r="C77" s="7"/>
      <c r="D77" s="36"/>
      <c r="E77" s="36"/>
      <c r="F77" s="37"/>
      <c r="G77" s="37"/>
      <c r="H77" s="7"/>
      <c r="I77" s="36"/>
      <c r="J77" s="36"/>
      <c r="K77" s="37"/>
      <c r="L77" s="37"/>
      <c r="M77" s="6"/>
      <c r="N77" s="36"/>
      <c r="O77" s="37"/>
      <c r="P77" s="37"/>
      <c r="Q77" s="31"/>
      <c r="R77" s="31"/>
    </row>
    <row r="78" spans="1:18" ht="14.25" x14ac:dyDescent="0.2">
      <c r="A78" s="6"/>
      <c r="B78" s="42"/>
      <c r="C78" s="7"/>
      <c r="D78" s="36"/>
      <c r="E78" s="36"/>
      <c r="F78" s="37"/>
      <c r="G78" s="37"/>
      <c r="H78" s="7"/>
      <c r="I78" s="36"/>
      <c r="J78" s="36"/>
      <c r="K78" s="37"/>
      <c r="L78" s="37"/>
      <c r="M78" s="6"/>
      <c r="N78" s="36"/>
      <c r="O78" s="37"/>
      <c r="P78" s="37"/>
      <c r="Q78" s="31"/>
      <c r="R78" s="31"/>
    </row>
    <row r="79" spans="1:18" ht="14.25" x14ac:dyDescent="0.2">
      <c r="A79" s="6"/>
      <c r="B79" s="42"/>
      <c r="C79" s="7"/>
      <c r="D79" s="36"/>
      <c r="E79" s="36"/>
      <c r="F79" s="37"/>
      <c r="G79" s="37"/>
      <c r="H79" s="7"/>
      <c r="I79" s="36"/>
      <c r="J79" s="36"/>
      <c r="K79" s="37"/>
      <c r="L79" s="37"/>
      <c r="M79" s="6"/>
      <c r="N79" s="36"/>
      <c r="O79" s="37"/>
      <c r="P79" s="37"/>
      <c r="Q79" s="31"/>
      <c r="R79" s="31"/>
    </row>
    <row r="80" spans="1:18" ht="14.25" x14ac:dyDescent="0.2">
      <c r="A80" s="6"/>
      <c r="B80" s="42"/>
      <c r="C80" s="7"/>
      <c r="D80" s="36"/>
      <c r="E80" s="36"/>
      <c r="F80" s="37"/>
      <c r="G80" s="37"/>
      <c r="H80" s="7"/>
      <c r="I80" s="36"/>
      <c r="J80" s="36"/>
      <c r="K80" s="37"/>
      <c r="L80" s="37"/>
      <c r="M80" s="6"/>
      <c r="N80" s="36"/>
      <c r="O80" s="37"/>
      <c r="P80" s="37"/>
      <c r="Q80" s="31"/>
      <c r="R80" s="31"/>
    </row>
    <row r="81" spans="1:18" ht="14.25" x14ac:dyDescent="0.2">
      <c r="A81" s="6"/>
      <c r="B81" s="42"/>
      <c r="C81" s="7"/>
      <c r="D81" s="36"/>
      <c r="E81" s="36"/>
      <c r="F81" s="37"/>
      <c r="G81" s="37"/>
      <c r="H81" s="7"/>
      <c r="I81" s="36"/>
      <c r="J81" s="36"/>
      <c r="K81" s="37"/>
      <c r="L81" s="37"/>
      <c r="M81" s="6"/>
      <c r="N81" s="36"/>
      <c r="O81" s="37"/>
      <c r="P81" s="37"/>
      <c r="Q81" s="31"/>
      <c r="R81" s="31"/>
    </row>
    <row r="82" spans="1:18" ht="14.25" x14ac:dyDescent="0.2">
      <c r="A82" s="6"/>
      <c r="B82" s="42"/>
      <c r="C82" s="7"/>
      <c r="D82" s="36"/>
      <c r="E82" s="36"/>
      <c r="F82" s="37"/>
      <c r="G82" s="37"/>
      <c r="H82" s="7"/>
      <c r="I82" s="36"/>
      <c r="J82" s="36"/>
      <c r="K82" s="37"/>
      <c r="L82" s="37"/>
      <c r="M82" s="6"/>
      <c r="N82" s="36"/>
      <c r="O82" s="37"/>
      <c r="P82" s="37"/>
      <c r="Q82" s="31"/>
      <c r="R82" s="31"/>
    </row>
    <row r="83" spans="1:18" ht="14.25" x14ac:dyDescent="0.2">
      <c r="A83" s="6"/>
      <c r="B83" s="42"/>
      <c r="C83" s="7"/>
      <c r="D83" s="36"/>
      <c r="E83" s="36"/>
      <c r="F83" s="37"/>
      <c r="G83" s="37"/>
      <c r="H83" s="7"/>
      <c r="I83" s="36"/>
      <c r="J83" s="36"/>
      <c r="K83" s="37"/>
      <c r="L83" s="37"/>
      <c r="M83" s="6"/>
      <c r="N83" s="36"/>
      <c r="O83" s="37"/>
      <c r="P83" s="37"/>
      <c r="Q83" s="31"/>
      <c r="R83" s="31"/>
    </row>
    <row r="84" spans="1:18" ht="14.25" x14ac:dyDescent="0.2">
      <c r="A84" s="6"/>
      <c r="B84" s="42"/>
      <c r="C84" s="7"/>
      <c r="D84" s="36"/>
      <c r="E84" s="36"/>
      <c r="F84" s="37"/>
      <c r="G84" s="37"/>
      <c r="H84" s="7"/>
      <c r="I84" s="36"/>
      <c r="J84" s="36"/>
      <c r="K84" s="37"/>
      <c r="L84" s="37"/>
      <c r="M84" s="6"/>
      <c r="N84" s="36"/>
      <c r="O84" s="37"/>
      <c r="P84" s="37"/>
      <c r="Q84" s="31"/>
      <c r="R84" s="31"/>
    </row>
    <row r="85" spans="1:18" ht="14.25" x14ac:dyDescent="0.2">
      <c r="A85" s="6"/>
      <c r="B85" s="42"/>
      <c r="C85" s="7"/>
      <c r="D85" s="36"/>
      <c r="E85" s="36"/>
      <c r="F85" s="37"/>
      <c r="G85" s="37"/>
      <c r="H85" s="7"/>
      <c r="I85" s="36"/>
      <c r="J85" s="36"/>
      <c r="K85" s="37"/>
      <c r="L85" s="37"/>
      <c r="M85" s="6"/>
      <c r="N85" s="36"/>
      <c r="O85" s="37"/>
      <c r="P85" s="37"/>
      <c r="Q85" s="31"/>
      <c r="R85" s="31"/>
    </row>
    <row r="86" spans="1:18" ht="14.25" x14ac:dyDescent="0.2">
      <c r="A86" s="6"/>
      <c r="B86" s="42"/>
      <c r="C86" s="7"/>
      <c r="D86" s="36"/>
      <c r="E86" s="36"/>
      <c r="F86" s="37"/>
      <c r="G86" s="37"/>
      <c r="H86" s="7"/>
      <c r="I86" s="36"/>
      <c r="J86" s="36"/>
      <c r="K86" s="37"/>
      <c r="L86" s="37"/>
      <c r="M86" s="6"/>
      <c r="N86" s="36"/>
      <c r="O86" s="37"/>
      <c r="P86" s="37"/>
      <c r="Q86" s="31"/>
      <c r="R86" s="31"/>
    </row>
    <row r="87" spans="1:18" ht="14.25" x14ac:dyDescent="0.2">
      <c r="A87" s="6"/>
      <c r="B87" s="42"/>
      <c r="C87" s="7"/>
      <c r="D87" s="36"/>
      <c r="E87" s="36"/>
      <c r="F87" s="37"/>
      <c r="G87" s="37"/>
      <c r="H87" s="7"/>
      <c r="I87" s="36"/>
      <c r="J87" s="36"/>
      <c r="K87" s="37"/>
      <c r="L87" s="37"/>
      <c r="M87" s="6"/>
      <c r="N87" s="36"/>
      <c r="O87" s="37"/>
      <c r="P87" s="37"/>
      <c r="Q87" s="31"/>
      <c r="R87" s="31"/>
    </row>
    <row r="88" spans="1:18" ht="14.25" x14ac:dyDescent="0.2">
      <c r="A88" s="6"/>
      <c r="B88" s="42"/>
      <c r="C88" s="7"/>
      <c r="D88" s="36"/>
      <c r="E88" s="36"/>
      <c r="F88" s="37"/>
      <c r="G88" s="37"/>
      <c r="H88" s="7"/>
      <c r="I88" s="36"/>
      <c r="J88" s="36"/>
      <c r="K88" s="37"/>
      <c r="L88" s="37"/>
      <c r="M88" s="6"/>
      <c r="N88" s="36"/>
      <c r="O88" s="37"/>
      <c r="P88" s="37"/>
      <c r="Q88" s="31"/>
      <c r="R88" s="31"/>
    </row>
    <row r="89" spans="1:18" ht="14.25" x14ac:dyDescent="0.2">
      <c r="A89" s="6"/>
      <c r="B89" s="42"/>
      <c r="C89" s="7"/>
      <c r="D89" s="36"/>
      <c r="E89" s="36"/>
      <c r="F89" s="37"/>
      <c r="G89" s="37"/>
      <c r="H89" s="7"/>
      <c r="I89" s="36"/>
      <c r="J89" s="36"/>
      <c r="K89" s="37"/>
      <c r="L89" s="37"/>
      <c r="M89" s="6"/>
      <c r="N89" s="36"/>
      <c r="O89" s="37"/>
      <c r="P89" s="37"/>
      <c r="Q89" s="31"/>
      <c r="R89" s="31"/>
    </row>
    <row r="90" spans="1:18" ht="14.25" x14ac:dyDescent="0.2">
      <c r="A90" s="6"/>
      <c r="B90" s="42"/>
      <c r="C90" s="7"/>
      <c r="D90" s="36"/>
      <c r="E90" s="36"/>
      <c r="F90" s="37"/>
      <c r="G90" s="37"/>
      <c r="H90" s="7"/>
      <c r="I90" s="36"/>
      <c r="J90" s="36"/>
      <c r="K90" s="37"/>
      <c r="L90" s="37"/>
      <c r="M90" s="6"/>
      <c r="N90" s="36"/>
      <c r="O90" s="37"/>
      <c r="P90" s="37"/>
      <c r="Q90" s="31"/>
      <c r="R90" s="31"/>
    </row>
    <row r="91" spans="1:18" ht="14.25" x14ac:dyDescent="0.2">
      <c r="A91" s="6"/>
      <c r="B91" s="42"/>
      <c r="C91" s="7"/>
      <c r="D91" s="36"/>
      <c r="E91" s="36"/>
      <c r="F91" s="37"/>
      <c r="G91" s="37"/>
      <c r="H91" s="7"/>
      <c r="I91" s="36"/>
      <c r="J91" s="36"/>
      <c r="K91" s="37"/>
      <c r="L91" s="37"/>
      <c r="M91" s="6"/>
      <c r="N91" s="36"/>
      <c r="O91" s="37"/>
      <c r="P91" s="37"/>
      <c r="Q91" s="31"/>
      <c r="R91" s="31"/>
    </row>
    <row r="92" spans="1:18" ht="14.25" x14ac:dyDescent="0.2">
      <c r="A92" s="6"/>
      <c r="B92" s="42"/>
      <c r="C92" s="7"/>
      <c r="D92" s="36"/>
      <c r="E92" s="36"/>
      <c r="F92" s="37"/>
      <c r="G92" s="37"/>
      <c r="H92" s="7"/>
      <c r="I92" s="36"/>
      <c r="J92" s="36"/>
      <c r="K92" s="37"/>
      <c r="L92" s="37"/>
      <c r="M92" s="6"/>
      <c r="N92" s="36"/>
      <c r="O92" s="37"/>
      <c r="P92" s="37"/>
      <c r="Q92" s="31"/>
      <c r="R92" s="31"/>
    </row>
    <row r="93" spans="1:18" ht="14.25" x14ac:dyDescent="0.2">
      <c r="A93" s="6"/>
      <c r="B93" s="42"/>
      <c r="C93" s="7"/>
      <c r="D93" s="36"/>
      <c r="E93" s="36"/>
      <c r="F93" s="37"/>
      <c r="G93" s="37"/>
      <c r="H93" s="7"/>
      <c r="I93" s="36"/>
      <c r="J93" s="36"/>
      <c r="K93" s="37"/>
      <c r="L93" s="37"/>
      <c r="M93" s="6"/>
      <c r="N93" s="36"/>
      <c r="O93" s="37"/>
      <c r="P93" s="37"/>
      <c r="Q93" s="31"/>
      <c r="R93" s="31"/>
    </row>
    <row r="94" spans="1:18" ht="14.25" x14ac:dyDescent="0.2">
      <c r="A94" s="6"/>
      <c r="B94" s="42"/>
      <c r="C94" s="7"/>
      <c r="D94" s="36"/>
      <c r="E94" s="36"/>
      <c r="F94" s="37"/>
      <c r="G94" s="37"/>
      <c r="H94" s="7"/>
      <c r="I94" s="36"/>
      <c r="J94" s="36"/>
      <c r="K94" s="37"/>
      <c r="L94" s="37"/>
      <c r="M94" s="6"/>
      <c r="N94" s="36"/>
      <c r="O94" s="37"/>
      <c r="P94" s="37"/>
      <c r="Q94" s="31"/>
      <c r="R94" s="31"/>
    </row>
    <row r="95" spans="1:18" ht="14.25" x14ac:dyDescent="0.2">
      <c r="A95" s="6"/>
      <c r="B95" s="42"/>
      <c r="C95" s="7"/>
      <c r="D95" s="36"/>
      <c r="E95" s="36"/>
      <c r="F95" s="37"/>
      <c r="G95" s="37"/>
      <c r="H95" s="7"/>
      <c r="I95" s="36"/>
      <c r="J95" s="36"/>
      <c r="K95" s="37"/>
      <c r="L95" s="37"/>
      <c r="M95" s="6"/>
      <c r="N95" s="36"/>
      <c r="O95" s="37"/>
      <c r="P95" s="37"/>
      <c r="Q95" s="31"/>
      <c r="R95" s="31"/>
    </row>
    <row r="96" spans="1:18" ht="14.25" x14ac:dyDescent="0.2">
      <c r="A96" s="6"/>
      <c r="B96" s="42"/>
      <c r="C96" s="7"/>
      <c r="D96" s="36"/>
      <c r="E96" s="36"/>
      <c r="F96" s="37"/>
      <c r="G96" s="37"/>
      <c r="H96" s="7"/>
      <c r="I96" s="36"/>
      <c r="J96" s="36"/>
      <c r="K96" s="37"/>
      <c r="L96" s="37"/>
      <c r="M96" s="6"/>
      <c r="N96" s="36"/>
      <c r="O96" s="37"/>
      <c r="P96" s="37"/>
      <c r="Q96" s="31"/>
      <c r="R96" s="31"/>
    </row>
    <row r="97" spans="1:18" ht="14.25" x14ac:dyDescent="0.2">
      <c r="A97" s="6"/>
      <c r="B97" s="42"/>
      <c r="C97" s="7"/>
      <c r="D97" s="36"/>
      <c r="E97" s="36"/>
      <c r="F97" s="37"/>
      <c r="G97" s="37"/>
      <c r="H97" s="7"/>
      <c r="I97" s="36"/>
      <c r="J97" s="36"/>
      <c r="K97" s="37"/>
      <c r="L97" s="37"/>
      <c r="M97" s="6"/>
      <c r="N97" s="36"/>
      <c r="O97" s="37"/>
      <c r="P97" s="37"/>
      <c r="Q97" s="31"/>
      <c r="R97" s="31"/>
    </row>
    <row r="98" spans="1:18" ht="14.25" x14ac:dyDescent="0.2">
      <c r="A98" s="6"/>
      <c r="B98" s="42"/>
      <c r="C98" s="7"/>
      <c r="D98" s="36"/>
      <c r="E98" s="36"/>
      <c r="F98" s="37"/>
      <c r="G98" s="37"/>
      <c r="H98" s="7"/>
      <c r="I98" s="36"/>
      <c r="J98" s="36"/>
      <c r="K98" s="37"/>
      <c r="L98" s="37"/>
      <c r="M98" s="6"/>
      <c r="N98" s="36"/>
      <c r="O98" s="37"/>
      <c r="P98" s="37"/>
      <c r="Q98" s="31"/>
      <c r="R98" s="31"/>
    </row>
    <row r="99" spans="1:18" ht="14.25" x14ac:dyDescent="0.2">
      <c r="A99" s="6"/>
      <c r="B99" s="42"/>
      <c r="C99" s="7"/>
      <c r="D99" s="36"/>
      <c r="E99" s="36"/>
      <c r="F99" s="37"/>
      <c r="G99" s="37"/>
      <c r="H99" s="7"/>
      <c r="I99" s="36"/>
      <c r="J99" s="36"/>
      <c r="K99" s="37"/>
      <c r="L99" s="37"/>
      <c r="M99" s="6"/>
      <c r="N99" s="36"/>
      <c r="O99" s="37"/>
      <c r="P99" s="37"/>
      <c r="Q99" s="31"/>
      <c r="R99" s="31"/>
    </row>
    <row r="100" spans="1:18" ht="14.25" x14ac:dyDescent="0.2">
      <c r="A100" s="6"/>
      <c r="B100" s="42"/>
      <c r="C100" s="7"/>
      <c r="D100" s="36"/>
      <c r="E100" s="36"/>
      <c r="F100" s="37"/>
      <c r="G100" s="37"/>
      <c r="H100" s="7"/>
      <c r="I100" s="36"/>
      <c r="J100" s="36"/>
      <c r="K100" s="37"/>
      <c r="L100" s="37"/>
      <c r="M100" s="6"/>
      <c r="N100" s="36"/>
      <c r="O100" s="37"/>
      <c r="P100" s="37"/>
      <c r="Q100" s="31"/>
      <c r="R100" s="31"/>
    </row>
    <row r="101" spans="1:18" ht="14.25" x14ac:dyDescent="0.2">
      <c r="A101" s="6"/>
      <c r="B101" s="42"/>
      <c r="C101" s="7"/>
      <c r="D101" s="36"/>
      <c r="E101" s="36"/>
      <c r="F101" s="37"/>
      <c r="G101" s="37"/>
      <c r="H101" s="7"/>
      <c r="I101" s="36"/>
      <c r="J101" s="36"/>
      <c r="K101" s="37"/>
      <c r="L101" s="37"/>
      <c r="M101" s="6"/>
      <c r="N101" s="36"/>
      <c r="O101" s="37"/>
      <c r="P101" s="37"/>
      <c r="Q101" s="31"/>
      <c r="R101" s="31"/>
    </row>
    <row r="102" spans="1:18" ht="14.25" x14ac:dyDescent="0.2">
      <c r="A102" s="6"/>
      <c r="B102" s="42"/>
      <c r="C102" s="7"/>
      <c r="D102" s="36"/>
      <c r="E102" s="36"/>
      <c r="F102" s="37"/>
      <c r="G102" s="37"/>
      <c r="H102" s="7"/>
      <c r="I102" s="36"/>
      <c r="J102" s="36"/>
      <c r="K102" s="37"/>
      <c r="L102" s="37"/>
      <c r="M102" s="6"/>
      <c r="N102" s="36"/>
      <c r="O102" s="37"/>
      <c r="P102" s="37"/>
      <c r="Q102" s="31"/>
      <c r="R102" s="31"/>
    </row>
    <row r="103" spans="1:18" ht="14.25" x14ac:dyDescent="0.2">
      <c r="A103" s="6"/>
      <c r="B103" s="42"/>
      <c r="C103" s="7"/>
      <c r="D103" s="36"/>
      <c r="E103" s="36"/>
      <c r="F103" s="37"/>
      <c r="G103" s="37"/>
      <c r="H103" s="7"/>
      <c r="I103" s="36"/>
      <c r="J103" s="36"/>
      <c r="K103" s="37"/>
      <c r="L103" s="37"/>
      <c r="M103" s="6"/>
      <c r="N103" s="36"/>
      <c r="O103" s="37"/>
      <c r="P103" s="37"/>
      <c r="Q103" s="31"/>
      <c r="R103" s="31"/>
    </row>
    <row r="104" spans="1:18" ht="14.25" x14ac:dyDescent="0.2">
      <c r="A104" s="6"/>
      <c r="B104" s="42"/>
      <c r="C104" s="7"/>
      <c r="D104" s="36"/>
      <c r="E104" s="36"/>
      <c r="F104" s="37"/>
      <c r="G104" s="37"/>
      <c r="H104" s="7"/>
      <c r="I104" s="36"/>
      <c r="J104" s="36"/>
      <c r="K104" s="37"/>
      <c r="L104" s="37"/>
      <c r="M104" s="6"/>
      <c r="N104" s="36"/>
      <c r="O104" s="37"/>
      <c r="P104" s="37"/>
      <c r="Q104" s="31"/>
      <c r="R104" s="31"/>
    </row>
    <row r="105" spans="1:18" ht="14.25" x14ac:dyDescent="0.2">
      <c r="A105" s="6"/>
      <c r="B105" s="42"/>
      <c r="C105" s="7"/>
      <c r="D105" s="36"/>
      <c r="E105" s="36"/>
      <c r="F105" s="37"/>
      <c r="G105" s="37"/>
      <c r="H105" s="7"/>
      <c r="I105" s="36"/>
      <c r="J105" s="36"/>
      <c r="K105" s="37"/>
      <c r="L105" s="37"/>
      <c r="M105" s="6"/>
      <c r="N105" s="36"/>
      <c r="O105" s="37"/>
      <c r="P105" s="37"/>
      <c r="Q105" s="31"/>
      <c r="R105" s="31"/>
    </row>
    <row r="106" spans="1:18" ht="14.25" x14ac:dyDescent="0.2">
      <c r="A106" s="6"/>
      <c r="B106" s="42"/>
      <c r="C106" s="7"/>
      <c r="D106" s="36"/>
      <c r="E106" s="36"/>
      <c r="F106" s="37"/>
      <c r="G106" s="37"/>
      <c r="H106" s="7"/>
      <c r="I106" s="36"/>
      <c r="J106" s="36"/>
      <c r="K106" s="37"/>
      <c r="L106" s="37"/>
      <c r="M106" s="6"/>
      <c r="N106" s="36"/>
      <c r="O106" s="37"/>
      <c r="P106" s="37"/>
      <c r="Q106" s="31"/>
      <c r="R106" s="31"/>
    </row>
    <row r="107" spans="1:18" ht="14.25" x14ac:dyDescent="0.2">
      <c r="A107" s="6"/>
      <c r="B107" s="42"/>
      <c r="C107" s="7"/>
      <c r="D107" s="36"/>
      <c r="E107" s="36"/>
      <c r="F107" s="37"/>
      <c r="G107" s="37"/>
      <c r="H107" s="7"/>
      <c r="I107" s="36"/>
      <c r="J107" s="36"/>
      <c r="K107" s="37"/>
      <c r="L107" s="37"/>
      <c r="M107" s="6"/>
      <c r="N107" s="36"/>
      <c r="O107" s="37"/>
      <c r="P107" s="37"/>
      <c r="Q107" s="31"/>
      <c r="R107" s="31"/>
    </row>
    <row r="108" spans="1:18" ht="14.25" x14ac:dyDescent="0.2">
      <c r="A108" s="6"/>
      <c r="B108" s="42"/>
      <c r="C108" s="7"/>
      <c r="D108" s="36"/>
      <c r="E108" s="36"/>
      <c r="F108" s="37"/>
      <c r="G108" s="37"/>
      <c r="H108" s="7"/>
      <c r="I108" s="36"/>
      <c r="J108" s="36"/>
      <c r="K108" s="37"/>
      <c r="L108" s="37"/>
      <c r="M108" s="6"/>
      <c r="N108" s="36"/>
      <c r="O108" s="37"/>
      <c r="P108" s="37"/>
      <c r="Q108" s="31"/>
      <c r="R108" s="31"/>
    </row>
    <row r="109" spans="1:18" ht="14.25" x14ac:dyDescent="0.2">
      <c r="A109" s="6"/>
      <c r="B109" s="42"/>
      <c r="C109" s="7"/>
      <c r="D109" s="36"/>
      <c r="E109" s="36"/>
      <c r="F109" s="37"/>
      <c r="G109" s="37"/>
      <c r="H109" s="7"/>
      <c r="I109" s="36"/>
      <c r="J109" s="36"/>
      <c r="K109" s="37"/>
      <c r="L109" s="37"/>
      <c r="M109" s="6"/>
      <c r="N109" s="36"/>
      <c r="O109" s="37"/>
      <c r="P109" s="37"/>
      <c r="Q109" s="31"/>
      <c r="R109" s="31"/>
    </row>
    <row r="110" spans="1:18" ht="14.25" x14ac:dyDescent="0.2">
      <c r="A110" s="6"/>
      <c r="B110" s="42"/>
      <c r="C110" s="7"/>
      <c r="D110" s="36"/>
      <c r="E110" s="36"/>
      <c r="F110" s="37"/>
      <c r="G110" s="37"/>
      <c r="H110" s="7"/>
      <c r="I110" s="36"/>
      <c r="J110" s="36"/>
      <c r="K110" s="37"/>
      <c r="L110" s="37"/>
      <c r="M110" s="6"/>
      <c r="N110" s="36"/>
      <c r="O110" s="37"/>
      <c r="P110" s="37"/>
      <c r="Q110" s="31"/>
      <c r="R110" s="31"/>
    </row>
    <row r="111" spans="1:18" ht="14.25" x14ac:dyDescent="0.2">
      <c r="A111" s="6"/>
      <c r="B111" s="42"/>
      <c r="C111" s="7"/>
      <c r="D111" s="36"/>
      <c r="E111" s="36"/>
      <c r="F111" s="37"/>
      <c r="G111" s="37"/>
      <c r="H111" s="7"/>
      <c r="I111" s="36"/>
      <c r="J111" s="36"/>
      <c r="K111" s="37"/>
      <c r="L111" s="37"/>
      <c r="M111" s="6"/>
      <c r="N111" s="36"/>
      <c r="O111" s="37"/>
      <c r="P111" s="37"/>
      <c r="Q111" s="31"/>
      <c r="R111" s="31"/>
    </row>
    <row r="112" spans="1:18" ht="14.25" x14ac:dyDescent="0.2">
      <c r="A112" s="6"/>
      <c r="B112" s="42"/>
      <c r="C112" s="7"/>
      <c r="D112" s="36"/>
      <c r="E112" s="36"/>
      <c r="F112" s="37"/>
      <c r="G112" s="37"/>
      <c r="H112" s="7"/>
      <c r="I112" s="36"/>
      <c r="J112" s="36"/>
      <c r="K112" s="37"/>
      <c r="L112" s="37"/>
      <c r="M112" s="6"/>
      <c r="N112" s="36"/>
      <c r="O112" s="37"/>
      <c r="P112" s="37"/>
      <c r="Q112" s="31"/>
      <c r="R112" s="31"/>
    </row>
    <row r="113" spans="1:18" ht="14.25" x14ac:dyDescent="0.2">
      <c r="A113" s="6"/>
      <c r="B113" s="42"/>
      <c r="C113" s="7"/>
      <c r="D113" s="36"/>
      <c r="E113" s="36"/>
      <c r="F113" s="37"/>
      <c r="G113" s="37"/>
      <c r="H113" s="7"/>
      <c r="I113" s="36"/>
      <c r="J113" s="36"/>
      <c r="K113" s="37"/>
      <c r="L113" s="37"/>
      <c r="M113" s="6"/>
      <c r="N113" s="36"/>
      <c r="O113" s="37"/>
      <c r="P113" s="37"/>
      <c r="Q113" s="31"/>
      <c r="R113" s="31"/>
    </row>
    <row r="114" spans="1:18" ht="14.25" x14ac:dyDescent="0.2">
      <c r="A114" s="6"/>
      <c r="B114" s="42"/>
      <c r="C114" s="7"/>
      <c r="D114" s="36"/>
      <c r="E114" s="36"/>
      <c r="F114" s="37"/>
      <c r="G114" s="37"/>
      <c r="H114" s="7"/>
      <c r="I114" s="36"/>
      <c r="J114" s="36"/>
      <c r="K114" s="37"/>
      <c r="L114" s="37"/>
      <c r="M114" s="6"/>
      <c r="N114" s="36"/>
      <c r="O114" s="37"/>
      <c r="P114" s="37"/>
      <c r="Q114" s="31"/>
      <c r="R114" s="31"/>
    </row>
    <row r="115" spans="1:18" ht="14.25" x14ac:dyDescent="0.2">
      <c r="A115" s="6"/>
      <c r="B115" s="42"/>
      <c r="C115" s="7"/>
      <c r="D115" s="36"/>
      <c r="E115" s="36"/>
      <c r="F115" s="37"/>
      <c r="G115" s="37"/>
      <c r="H115" s="7"/>
      <c r="I115" s="36"/>
      <c r="J115" s="36"/>
      <c r="K115" s="37"/>
      <c r="L115" s="37"/>
      <c r="M115" s="6"/>
      <c r="N115" s="36"/>
      <c r="O115" s="37"/>
      <c r="P115" s="37"/>
      <c r="Q115" s="31"/>
      <c r="R115" s="31"/>
    </row>
    <row r="116" spans="1:18" ht="14.25" x14ac:dyDescent="0.2">
      <c r="A116" s="6"/>
      <c r="B116" s="42"/>
      <c r="C116" s="7"/>
      <c r="D116" s="36"/>
      <c r="E116" s="36"/>
      <c r="F116" s="37"/>
      <c r="G116" s="37"/>
      <c r="H116" s="7"/>
      <c r="I116" s="36"/>
      <c r="J116" s="36"/>
      <c r="K116" s="37"/>
      <c r="L116" s="37"/>
      <c r="M116" s="6"/>
      <c r="N116" s="36"/>
      <c r="O116" s="37"/>
      <c r="P116" s="37"/>
      <c r="Q116" s="31"/>
      <c r="R116" s="31"/>
    </row>
    <row r="117" spans="1:18" ht="14.25" x14ac:dyDescent="0.2">
      <c r="A117" s="6"/>
      <c r="B117" s="42"/>
      <c r="C117" s="7"/>
      <c r="D117" s="36"/>
      <c r="E117" s="36"/>
      <c r="F117" s="37"/>
      <c r="G117" s="37"/>
      <c r="H117" s="7"/>
      <c r="I117" s="36"/>
      <c r="J117" s="36"/>
      <c r="K117" s="37"/>
      <c r="L117" s="37"/>
      <c r="M117" s="6"/>
      <c r="N117" s="36"/>
      <c r="O117" s="37"/>
      <c r="P117" s="37"/>
      <c r="Q117" s="31"/>
      <c r="R117" s="31"/>
    </row>
    <row r="118" spans="1:18" ht="14.25" x14ac:dyDescent="0.2">
      <c r="A118" s="6"/>
      <c r="B118" s="42"/>
      <c r="C118" s="7"/>
      <c r="D118" s="36"/>
      <c r="E118" s="36"/>
      <c r="F118" s="37"/>
      <c r="G118" s="37"/>
      <c r="H118" s="7"/>
      <c r="I118" s="36"/>
      <c r="J118" s="36"/>
      <c r="K118" s="37"/>
      <c r="L118" s="37"/>
      <c r="M118" s="6"/>
      <c r="N118" s="36"/>
      <c r="O118" s="37"/>
      <c r="P118" s="37"/>
      <c r="Q118" s="31"/>
      <c r="R118" s="31"/>
    </row>
    <row r="119" spans="1:18" ht="14.25" x14ac:dyDescent="0.2">
      <c r="A119" s="6"/>
      <c r="B119" s="42"/>
      <c r="C119" s="7"/>
      <c r="D119" s="36"/>
      <c r="E119" s="36"/>
      <c r="F119" s="37"/>
      <c r="G119" s="37"/>
      <c r="H119" s="7"/>
      <c r="I119" s="36"/>
      <c r="J119" s="36"/>
      <c r="K119" s="37"/>
      <c r="L119" s="37"/>
      <c r="M119" s="6"/>
      <c r="N119" s="36"/>
      <c r="O119" s="37"/>
      <c r="P119" s="37"/>
      <c r="Q119" s="31"/>
      <c r="R119" s="31"/>
    </row>
    <row r="120" spans="1:18" ht="14.25" x14ac:dyDescent="0.2">
      <c r="A120" s="6"/>
      <c r="B120" s="42"/>
      <c r="C120" s="7"/>
      <c r="D120" s="36"/>
      <c r="E120" s="36"/>
      <c r="F120" s="37"/>
      <c r="G120" s="37"/>
      <c r="H120" s="7"/>
      <c r="I120" s="36"/>
      <c r="J120" s="36"/>
      <c r="K120" s="37"/>
      <c r="L120" s="37"/>
      <c r="M120" s="6"/>
      <c r="N120" s="36"/>
      <c r="O120" s="37"/>
      <c r="P120" s="37"/>
      <c r="Q120" s="31"/>
      <c r="R120" s="31"/>
    </row>
    <row r="121" spans="1:18" ht="14.25" x14ac:dyDescent="0.2">
      <c r="A121" s="6"/>
      <c r="B121" s="42"/>
      <c r="C121" s="7"/>
      <c r="D121" s="36"/>
      <c r="E121" s="36"/>
      <c r="F121" s="37"/>
      <c r="G121" s="37"/>
      <c r="H121" s="7"/>
      <c r="I121" s="36"/>
      <c r="J121" s="36"/>
      <c r="K121" s="37"/>
      <c r="L121" s="37"/>
      <c r="M121" s="6"/>
      <c r="N121" s="36"/>
      <c r="O121" s="37"/>
      <c r="P121" s="37"/>
      <c r="Q121" s="31"/>
      <c r="R121" s="31"/>
    </row>
    <row r="122" spans="1:18" ht="14.25" x14ac:dyDescent="0.2">
      <c r="A122" s="6"/>
      <c r="B122" s="42"/>
      <c r="C122" s="7"/>
      <c r="D122" s="36"/>
      <c r="E122" s="36"/>
      <c r="F122" s="37"/>
      <c r="G122" s="37"/>
      <c r="H122" s="7"/>
      <c r="I122" s="36"/>
      <c r="J122" s="36"/>
      <c r="K122" s="37"/>
      <c r="L122" s="37"/>
      <c r="M122" s="6"/>
      <c r="N122" s="36"/>
      <c r="O122" s="37"/>
      <c r="P122" s="37"/>
      <c r="Q122" s="31"/>
      <c r="R122" s="31"/>
    </row>
    <row r="123" spans="1:18" ht="14.25" x14ac:dyDescent="0.2">
      <c r="A123" s="6"/>
      <c r="B123" s="42"/>
      <c r="C123" s="7"/>
      <c r="D123" s="36"/>
      <c r="E123" s="36"/>
      <c r="F123" s="37"/>
      <c r="G123" s="37"/>
      <c r="H123" s="7"/>
      <c r="I123" s="36"/>
      <c r="J123" s="36"/>
      <c r="K123" s="37"/>
      <c r="L123" s="37"/>
      <c r="M123" s="6"/>
      <c r="N123" s="36"/>
      <c r="O123" s="37"/>
      <c r="P123" s="37"/>
      <c r="Q123" s="31"/>
      <c r="R123" s="31"/>
    </row>
  </sheetData>
  <mergeCells count="4">
    <mergeCell ref="A1:B1"/>
    <mergeCell ref="C1:G1"/>
    <mergeCell ref="H1:L1"/>
    <mergeCell ref="M1:P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>
                <anchor moveWithCells="1" sizeWithCells="1">
                  <from>
                    <xdr:col>2</xdr:col>
                    <xdr:colOff>400050</xdr:colOff>
                    <xdr:row>28</xdr:row>
                    <xdr:rowOff>133350</xdr:rowOff>
                  </from>
                  <to>
                    <xdr:col>3</xdr:col>
                    <xdr:colOff>514350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Sertifikater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Sigurdur Mar Valsson</dc:creator>
  <cp:lastModifiedBy>Sigurdur Mar Valsson</cp:lastModifiedBy>
  <dcterms:created xsi:type="dcterms:W3CDTF">2023-01-04T12:41:33Z</dcterms:created>
  <dcterms:modified xsi:type="dcterms:W3CDTF">2023-01-04T14:38:37Z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f16e47-2ef9-4232-918d-e60afd9f4a96_Enabled">
    <vt:lpwstr>true</vt:lpwstr>
  </property>
  <property fmtid="{D5CDD505-2E9C-101B-9397-08002B2CF9AE}" pid="3" name="MSIP_Label_5cf16e47-2ef9-4232-918d-e60afd9f4a96_SetDate">
    <vt:lpwstr>2023-01-04T12:44:41Z</vt:lpwstr>
  </property>
  <property fmtid="{D5CDD505-2E9C-101B-9397-08002B2CF9AE}" pid="4" name="MSIP_Label_5cf16e47-2ef9-4232-918d-e60afd9f4a96_Method">
    <vt:lpwstr>Privileged</vt:lpwstr>
  </property>
  <property fmtid="{D5CDD505-2E9C-101B-9397-08002B2CF9AE}" pid="5" name="MSIP_Label_5cf16e47-2ef9-4232-918d-e60afd9f4a96_Name">
    <vt:lpwstr>Intern</vt:lpwstr>
  </property>
  <property fmtid="{D5CDD505-2E9C-101B-9397-08002B2CF9AE}" pid="6" name="MSIP_Label_5cf16e47-2ef9-4232-918d-e60afd9f4a96_SiteId">
    <vt:lpwstr>38856954-ed55-49f7-8bdd-738ffbbfd390</vt:lpwstr>
  </property>
  <property fmtid="{D5CDD505-2E9C-101B-9397-08002B2CF9AE}" pid="7" name="MSIP_Label_5cf16e47-2ef9-4232-918d-e60afd9f4a96_ActionId">
    <vt:lpwstr>176f8953-6b26-4b7c-a2aa-3f7de1914443</vt:lpwstr>
  </property>
  <property fmtid="{D5CDD505-2E9C-101B-9397-08002B2CF9AE}" pid="8" name="MSIP_Label_5cf16e47-2ef9-4232-918d-e60afd9f4a96_ContentBits">
    <vt:lpwstr>0</vt:lpwstr>
  </property>
</Properties>
</file>